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omments1.xml" ContentType="application/vnd.openxmlformats-officedocument.spreadsheetml.comments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o.e1\Desktop\עדכון מכירות דו יומי\יוני 26\"/>
    </mc:Choice>
  </mc:AlternateContent>
  <xr:revisionPtr revIDLastSave="0" documentId="13_ncr:1_{C2470E92-F900-4696-8B80-0069A6A02DAA}" xr6:coauthVersionLast="47" xr6:coauthVersionMax="47" xr10:uidLastSave="{00000000-0000-0000-0000-000000000000}"/>
  <bookViews>
    <workbookView xWindow="-165" yWindow="-165" windowWidth="29130" windowHeight="15810" xr2:uid="{C3B41F45-538F-4309-91F3-8C42A36700A0}"/>
  </bookViews>
  <sheets>
    <sheet name="יעדים" sheetId="18" r:id="rId1"/>
    <sheet name="חשבונית-פתוח-בתהליך" sheetId="19" r:id="rId2"/>
    <sheet name="אינסנטיב יוני" sheetId="20" r:id="rId3"/>
    <sheet name="תנאים מסחריים מאי 26" sheetId="21" r:id="rId4"/>
    <sheet name="חגים" sheetId="22" state="hidden" r:id="rId5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2" l="1"/>
  <c r="B1" i="22"/>
  <c r="L4" i="18" a="1"/>
  <c r="L4" i="18"/>
  <c r="C1" i="22"/>
  <c r="C2" i="22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D4" i="20"/>
  <c r="E4" i="20"/>
  <c r="D19" i="19"/>
  <c r="D3" i="20"/>
  <c r="E19" i="19"/>
  <c r="F4" i="18"/>
  <c r="J19" i="19"/>
  <c r="K19" i="19"/>
  <c r="D4" i="18"/>
  <c r="G4" i="18"/>
  <c r="L19" i="19"/>
  <c r="M19" i="19" a="1"/>
  <c r="M19" i="19"/>
  <c r="D44" i="19"/>
  <c r="E5" i="18"/>
  <c r="E44" i="19"/>
  <c r="J44" i="19"/>
  <c r="K44" i="19"/>
  <c r="D5" i="18"/>
  <c r="G5" i="18"/>
  <c r="L44" i="19"/>
  <c r="M44" i="19" a="1"/>
  <c r="M44" i="19"/>
  <c r="F5" i="18"/>
  <c r="E10" i="18"/>
  <c r="E11" i="18"/>
  <c r="C3" i="20"/>
  <c r="C4" i="20"/>
  <c r="F4" i="20"/>
  <c r="E4" i="18"/>
  <c r="E3" i="20"/>
  <c r="F3" i="20"/>
  <c r="H5" i="18"/>
  <c r="H4" i="18"/>
  <c r="C3" i="18"/>
  <c r="K4" i="18" a="1"/>
  <c r="K4" i="18"/>
  <c r="J4" i="18"/>
  <c r="B2" i="18"/>
  <c r="B7" i="18"/>
  <c r="C9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Ido Eilon</author>
  </authors>
  <commentList>
    <comment ref="I43" authorId="0" shapeId="0" xr:uid="{2F7493AA-FB78-4F25-BFA0-DF7ADA0141A7}">
      <text>
        <r>
          <rPr>
            <b/>
            <sz val="9"/>
            <color indexed="81"/>
            <rFont val="Tahoma"/>
            <charset val="177"/>
          </rPr>
          <t>Ido Eilon:</t>
        </r>
        <r>
          <rPr>
            <sz val="9"/>
            <color indexed="81"/>
            <rFont val="Tahoma"/>
            <charset val="177"/>
          </rPr>
          <t xml:space="preserve">
התווסף לפי בדיקת המשתמש מול קובץ המקור ביצועי רשת 2026: לאור יש 38 חשבוניות לעומת 33 שהופיעו בקובץ.</t>
        </r>
      </text>
    </comment>
    <comment ref="K43" authorId="0" shapeId="0" xr:uid="{4A18CBFE-F71D-42CA-B6AA-383A8EDDC11A}">
      <text>
        <r>
          <rPr>
            <b/>
            <sz val="9"/>
            <color indexed="81"/>
            <rFont val="Tahoma"/>
            <charset val="177"/>
          </rPr>
          <t>התאמת פער לפי קובץ מקור ביצועי רשת 2026: אור בנג'ו 38 חשבוניות במקום 33.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<sst xmlns="http://schemas.openxmlformats.org/spreadsheetml/2006/main" count="222" uniqueCount="147">
  <si>
    <t>מת"ל</t>
  </si>
  <si>
    <t>ביצוע בפועל</t>
  </si>
  <si>
    <t>בתהליך</t>
  </si>
  <si>
    <t>ת.פתוח</t>
  </si>
  <si>
    <t xml:space="preserve">פוטנציאל </t>
  </si>
  <si>
    <t xml:space="preserve">אבי פטקייב </t>
  </si>
  <si>
    <t>קצב החודש</t>
  </si>
  <si>
    <t>ימי עבודה שנותרו</t>
  </si>
  <si>
    <t>ימים חודשי</t>
  </si>
  <si>
    <t>אור בנג'ו</t>
  </si>
  <si>
    <t>קונה</t>
  </si>
  <si>
    <t>וניו פריים</t>
  </si>
  <si>
    <t>טוסון היבריד</t>
  </si>
  <si>
    <t>אומודה 7 ויז'ן</t>
  </si>
  <si>
    <t>לקוח / משפחת דגם</t>
  </si>
  <si>
    <t>רישויים בתהליך</t>
  </si>
  <si>
    <t>רישויים תיק פתוח</t>
  </si>
  <si>
    <t>סה"כ</t>
  </si>
  <si>
    <t>אבי פטקייב</t>
  </si>
  <si>
    <t>קצב נדרש לעמידה ביעד</t>
  </si>
  <si>
    <t>שינוי %</t>
  </si>
  <si>
    <t>ערב פסח</t>
  </si>
  <si>
    <t>פסח ראשון</t>
  </si>
  <si>
    <t>חול המועד פסח</t>
  </si>
  <si>
    <t>שביעי של פסח</t>
  </si>
  <si>
    <t>יום העצמאות</t>
  </si>
  <si>
    <t>ערב ראש השנה</t>
  </si>
  <si>
    <t>ראש השנה א'</t>
  </si>
  <si>
    <t>ראש השנה ב'</t>
  </si>
  <si>
    <t>יום כיפור</t>
  </si>
  <si>
    <t>ערב סוכות</t>
  </si>
  <si>
    <t>סוכות</t>
  </si>
  <si>
    <t>חול המועד סוכות</t>
  </si>
  <si>
    <t>שמחת תורה</t>
  </si>
  <si>
    <t>ג'אקו 7 לקשרי (העמקה)</t>
  </si>
  <si>
    <t>דגמים במיקוד</t>
  </si>
  <si>
    <t>אאוטלנדר אינטנס/אינסטייל</t>
  </si>
  <si>
    <t>אלנטרה</t>
  </si>
  <si>
    <t>חדש</t>
  </si>
  <si>
    <t>לקוח חדש</t>
  </si>
  <si>
    <t xml:space="preserve">כן </t>
  </si>
  <si>
    <t>רישויים</t>
  </si>
  <si>
    <t>חשבוניות</t>
  </si>
  <si>
    <t>מסירות</t>
  </si>
  <si>
    <t>ניו קאר ליס מוטורס בע"מ</t>
  </si>
  <si>
    <t>רום מוטורס בע"מ</t>
  </si>
  <si>
    <t>ינון פז בע"מ</t>
  </si>
  <si>
    <t>יעד ליסינג ומימון לרכב בע"מ</t>
  </si>
  <si>
    <t>למונס סימפל מובילטי בע"מ</t>
  </si>
  <si>
    <t>יקיר ב. בע"מ</t>
  </si>
  <si>
    <t>הקניה הבטוחה (2000) בע"מ</t>
  </si>
  <si>
    <t>סיסטמטיקס בע'מ</t>
  </si>
  <si>
    <t>מ.פינס בע''מ</t>
  </si>
  <si>
    <t>קפיטל מוטורס בע"מ</t>
  </si>
  <si>
    <t>רכב סלמאן בע"מ</t>
  </si>
  <si>
    <t>שדה מיבנים ומכולות בע"מ</t>
  </si>
  <si>
    <t>לקוחות חדשים - אור</t>
  </si>
  <si>
    <t>לקוחות חדשים - אבי</t>
  </si>
  <si>
    <t>ערב שבועות / יום ללא עבודה</t>
  </si>
  <si>
    <t>שבועות</t>
  </si>
  <si>
    <t>יום הזכרון / ערב יום העצמאות</t>
  </si>
  <si>
    <t>ערב יום כיפור</t>
  </si>
  <si>
    <t>חול המועד פסח / שבת</t>
  </si>
  <si>
    <t>הושענא רבה / חול המועד סוכות / ערב שמחת תורה</t>
  </si>
  <si>
    <t>נתיבי ישראל הסעות וטיולים בע"מ</t>
  </si>
  <si>
    <t>קארמה ליס בע"מ</t>
  </si>
  <si>
    <t>רום גבס חיפוי וקירוי (1997) בע"מ</t>
  </si>
  <si>
    <t>דרך מבורכת ייעוץ בע"מ</t>
  </si>
  <si>
    <t>שחאדה טרייד אין</t>
  </si>
  <si>
    <t>דגם רכב</t>
  </si>
  <si>
    <t>קיבוץ תוספות</t>
  </si>
  <si>
    <t>מחירון</t>
  </si>
  <si>
    <t>הנחה %</t>
  </si>
  <si>
    <t>הנחה בשקלים</t>
  </si>
  <si>
    <t>מחיר לאחר הנחה</t>
  </si>
  <si>
    <t>סונטה היברידית אוטומטית</t>
  </si>
  <si>
    <t>Luxury FL - H095</t>
  </si>
  <si>
    <t>LIMITED FL - H096</t>
  </si>
  <si>
    <t>טוסון חדש 1.6 טורבו אוטומטי 4X2</t>
  </si>
  <si>
    <t>PANORAMIC FL - D3EN</t>
  </si>
  <si>
    <t>LUXURY FL - D3D9</t>
  </si>
  <si>
    <t>ELITE FL - D3DN</t>
  </si>
  <si>
    <t>PREMIUM FL - D3DU</t>
  </si>
  <si>
    <t>וניו 1.6 אוטומט CVT</t>
  </si>
  <si>
    <t>prime</t>
  </si>
  <si>
    <t>אאוטלנדר 2.5 7 מקומות אוטומט</t>
  </si>
  <si>
    <t>Intense - S01</t>
  </si>
  <si>
    <t>Executive - S02_MY24</t>
  </si>
  <si>
    <t>Instyle Plus - S08_MY24</t>
  </si>
  <si>
    <t>אלנטרה 1.6 היברידית אוטו</t>
  </si>
  <si>
    <t>PRIME FL -  P157</t>
  </si>
  <si>
    <t>PREMIUM FL - P158</t>
  </si>
  <si>
    <t>Kona EV</t>
  </si>
  <si>
    <t>PURE</t>
  </si>
  <si>
    <t>ULTIMAT</t>
  </si>
  <si>
    <t>קונה חדשה היברידית DCT 2X4</t>
  </si>
  <si>
    <t>PREMIUM  - D454</t>
  </si>
  <si>
    <t>JAECOO 7 PHEV 1.5T</t>
  </si>
  <si>
    <t>Premium - MH0005</t>
  </si>
  <si>
    <t>Luxury - MH0004</t>
  </si>
  <si>
    <t>elegance - MH0005</t>
  </si>
  <si>
    <t>סנטה פה היברידי 4x4</t>
  </si>
  <si>
    <t>סנטה פה היברידי 4x2</t>
  </si>
  <si>
    <t xml:space="preserve"> Excellence 2x4</t>
  </si>
  <si>
    <t xml:space="preserve">איוניק 5  </t>
  </si>
  <si>
    <t>פיור</t>
  </si>
  <si>
    <t>אולטרה</t>
  </si>
  <si>
    <t>אקסלנס</t>
  </si>
  <si>
    <t xml:space="preserve">איוניק 6 </t>
  </si>
  <si>
    <t xml:space="preserve">טוסון היברידי </t>
  </si>
  <si>
    <t>אקזקיוטיב</t>
  </si>
  <si>
    <t>אולטימייט</t>
  </si>
  <si>
    <t>פרימיום</t>
  </si>
  <si>
    <t>לקשרי</t>
  </si>
  <si>
    <t>גאקו 5 חשמלי</t>
  </si>
  <si>
    <t>גאקו 5 היברידי</t>
  </si>
  <si>
    <t>פרמיום</t>
  </si>
  <si>
    <t>גאקו 8 PHEV</t>
  </si>
  <si>
    <t>לימיטד</t>
  </si>
  <si>
    <t xml:space="preserve">אומודה 7  </t>
  </si>
  <si>
    <t>אלוויט</t>
  </si>
  <si>
    <t>הרמוני</t>
  </si>
  <si>
    <t>ןיז'ן</t>
  </si>
  <si>
    <t xml:space="preserve">אומודה 9 </t>
  </si>
  <si>
    <t>ויז'ן</t>
  </si>
  <si>
    <t xml:space="preserve">                  </t>
  </si>
  <si>
    <t>ח.ל חלקי חילוף לרכב בע"מ</t>
  </si>
  <si>
    <t>סיריוס אלקטרוניקה בע"מ</t>
  </si>
  <si>
    <t>י.א. רויאל מוטורס בע"מ</t>
  </si>
  <si>
    <t>מילניום שרותים ולוגסטיקה בע"מ</t>
  </si>
  <si>
    <t>לביב סחר רכב בע"מ</t>
  </si>
  <si>
    <t>איתן ספקים לבתי מרקחת בע"מ</t>
  </si>
  <si>
    <t>אי.אל. מדי-מרקט בע"מ</t>
  </si>
  <si>
    <t>אינסנטיב יוני</t>
  </si>
  <si>
    <t>%</t>
  </si>
  <si>
    <t>מת"לים</t>
  </si>
  <si>
    <t>Kona Pure</t>
  </si>
  <si>
    <t>Kona ULTIMATE</t>
  </si>
  <si>
    <t>Ultimate 2x4</t>
  </si>
  <si>
    <t>פליסייד</t>
  </si>
  <si>
    <t>Excellence</t>
  </si>
  <si>
    <t>Calligraphy 4x2</t>
  </si>
  <si>
    <t>Calligraphy 4x4</t>
  </si>
  <si>
    <t>גאקו 5 טורבו בנזין</t>
  </si>
  <si>
    <t xml:space="preserve">עמידה ביעד שמיים תזכה אתכם ב 3000 ש"ח שוברי הייטקזון. </t>
  </si>
  <si>
    <t>רגבים - אגרוליס בע'מ</t>
  </si>
  <si>
    <t>למונס איי אל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</si>
</sst>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₪&quot;\ #,##0"/>
    <numFmt numFmtId="165" formatCode="0.0%"/>
    <numFmt numFmtId="166" formatCode="&quot;₪&quot;\ #,##0.00"/>
  </numFmts>
  <fonts count="23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2"/>
      <color theme="1"/>
      <name val="Calibri Light"/>
      <family val="2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b/>
      <u/>
      <sz val="11"/>
      <color theme="1"/>
      <name val="Calibri Light"/>
      <family val="2"/>
    </font>
    <font>
      <b/>
      <sz val="11"/>
      <color theme="1"/>
      <name val="Aptos Narrow"/>
      <family val="2"/>
      <charset val="177"/>
      <scheme val="minor"/>
    </font>
    <font>
      <u/>
      <sz val="11"/>
      <color theme="10"/>
      <name val="Aptos Narrow"/>
      <family val="2"/>
      <charset val="177"/>
      <scheme val="minor"/>
    </font>
    <font>
      <u/>
      <sz val="11"/>
      <color rgb="FF0563C1"/>
      <name val="Aptos Narrow"/>
      <family val="2"/>
      <charset val="177"/>
      <scheme val="minor"/>
    </font>
    <font>
      <b/>
      <sz val="11"/>
      <name val="Calibri Light"/>
      <family val="2"/>
    </font>
    <font>
      <sz val="9"/>
      <color indexed="81"/>
      <name val="Tahoma"/>
      <charset val="177"/>
    </font>
    <font>
      <b/>
      <sz val="9"/>
      <color indexed="81"/>
      <name val="Tahoma"/>
      <charset val="177"/>
    </font>
    <font>
      <b/>
      <sz val="11"/>
      <color rgb="FF000000"/>
      <name val="Aptos Narrow"/>
      <family val="2"/>
    </font>
    <font>
      <b/>
      <sz val="11"/>
      <name val="Calibri Light"/>
      <family val="2"/>
      <charset val="177"/>
    </font>
    <font>
      <sz val="12"/>
      <color theme="1"/>
      <name val="Calibri Light"/>
      <family val="2"/>
    </font>
    <font>
      <sz val="12"/>
      <color theme="1"/>
      <name val="Aptos Narrow"/>
      <family val="2"/>
      <charset val="177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765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14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17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17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0" xfId="0" applyNumberFormat="1" applyFont="1"/>
    <xf numFmtId="14" fontId="0" fillId="0" borderId="0" xfId="0" applyNumberForma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8" fillId="0" borderId="1" xfId="2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2" borderId="8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0" fillId="6" borderId="15" xfId="0" applyFill="1" applyBorder="1"/>
    <xf numFmtId="0" fontId="4" fillId="6" borderId="15" xfId="0" applyFont="1" applyFill="1" applyBorder="1" applyAlignment="1">
      <alignment horizontal="center"/>
    </xf>
    <xf numFmtId="0" fontId="0" fillId="6" borderId="17" xfId="0" applyFill="1" applyBorder="1"/>
    <xf numFmtId="0" fontId="0" fillId="6" borderId="21" xfId="0" applyFill="1" applyBorder="1"/>
    <xf numFmtId="0" fontId="0" fillId="6" borderId="19" xfId="0" applyFill="1" applyBorder="1"/>
    <xf numFmtId="0" fontId="0" fillId="6" borderId="20" xfId="0" applyFill="1" applyBorder="1"/>
    <xf numFmtId="0" fontId="0" fillId="6" borderId="14" xfId="0" applyFill="1" applyBorder="1"/>
    <xf numFmtId="0" fontId="0" fillId="6" borderId="18" xfId="0" applyFill="1" applyBorder="1"/>
    <xf numFmtId="0" fontId="0" fillId="6" borderId="0" xfId="0" applyFill="1"/>
    <xf numFmtId="0" fontId="4" fillId="6" borderId="0" xfId="0" applyFont="1" applyFill="1" applyAlignment="1">
      <alignment horizontal="center"/>
    </xf>
    <xf numFmtId="0" fontId="0" fillId="6" borderId="16" xfId="0" applyFill="1" applyBorder="1"/>
    <xf numFmtId="0" fontId="0" fillId="8" borderId="14" xfId="0" applyFill="1" applyBorder="1"/>
    <xf numFmtId="0" fontId="0" fillId="8" borderId="18" xfId="0" applyFill="1" applyBorder="1"/>
    <xf numFmtId="0" fontId="0" fillId="8" borderId="19" xfId="0" applyFill="1" applyBorder="1"/>
    <xf numFmtId="0" fontId="0" fillId="8" borderId="15" xfId="0" applyFill="1" applyBorder="1"/>
    <xf numFmtId="0" fontId="4" fillId="8" borderId="15" xfId="0" applyFont="1" applyFill="1" applyBorder="1" applyAlignment="1">
      <alignment horizontal="center"/>
    </xf>
    <xf numFmtId="0" fontId="4" fillId="8" borderId="17" xfId="0" applyFont="1" applyFill="1" applyBorder="1" applyAlignment="1">
      <alignment horizontal="center"/>
    </xf>
    <xf numFmtId="0" fontId="9" fillId="8" borderId="17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0" fillId="8" borderId="17" xfId="0" applyFill="1" applyBorder="1"/>
    <xf numFmtId="0" fontId="0" fillId="8" borderId="21" xfId="0" applyFill="1" applyBorder="1"/>
    <xf numFmtId="0" fontId="0" fillId="8" borderId="0" xfId="0" applyFill="1"/>
    <xf numFmtId="0" fontId="4" fillId="8" borderId="0" xfId="0" applyFont="1" applyFill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0" fillId="5" borderId="0" xfId="0" applyFill="1"/>
    <xf numFmtId="1" fontId="8" fillId="0" borderId="1" xfId="2" applyNumberFormat="1" applyFont="1" applyBorder="1" applyAlignment="1">
      <alignment horizontal="center"/>
    </xf>
    <xf numFmtId="0" fontId="9" fillId="0" borderId="6" xfId="0" applyFont="1" applyBorder="1"/>
    <xf numFmtId="0" fontId="9" fillId="0" borderId="1" xfId="0" applyFont="1" applyBorder="1" applyAlignment="1">
      <alignment horizontal="center" vertical="center"/>
    </xf>
    <xf numFmtId="0" fontId="9" fillId="5" borderId="6" xfId="0" applyFont="1" applyFill="1" applyBorder="1"/>
    <xf numFmtId="0" fontId="13" fillId="0" borderId="6" xfId="0" applyFont="1" applyBorder="1"/>
    <xf numFmtId="0" fontId="13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" fontId="12" fillId="7" borderId="7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9" fontId="4" fillId="0" borderId="1" xfId="1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/>
    </xf>
    <xf numFmtId="0" fontId="9" fillId="8" borderId="26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0" fillId="8" borderId="26" xfId="0" applyFill="1" applyBorder="1"/>
    <xf numFmtId="0" fontId="0" fillId="8" borderId="22" xfId="0" applyFill="1" applyBorder="1"/>
    <xf numFmtId="0" fontId="0" fillId="0" borderId="26" xfId="0" applyBorder="1"/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/>
    <xf numFmtId="0" fontId="9" fillId="0" borderId="29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7" fontId="2" fillId="11" borderId="1" xfId="0" applyNumberFormat="1" applyFont="1" applyFill="1" applyBorder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 vertical="center"/>
    </xf>
    <xf numFmtId="9" fontId="14" fillId="0" borderId="1" xfId="1" applyFont="1" applyBorder="1" applyAlignment="1">
      <alignment horizontal="center" vertical="center"/>
    </xf>
    <xf numFmtId="0" fontId="15" fillId="0" borderId="0" xfId="0" applyFont="1"/>
    <xf numFmtId="0" fontId="2" fillId="3" borderId="0" xfId="0" applyFont="1" applyFill="1"/>
    <xf numFmtId="0" fontId="17" fillId="10" borderId="27" xfId="0" applyFont="1" applyFill="1" applyBorder="1" applyAlignment="1">
      <alignment horizontal="center"/>
    </xf>
    <xf numFmtId="0" fontId="17" fillId="10" borderId="5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165" fontId="20" fillId="10" borderId="1" xfId="1" applyNumberFormat="1" applyFont="1" applyFill="1" applyBorder="1" applyAlignment="1">
      <alignment horizontal="center"/>
    </xf>
    <xf numFmtId="166" fontId="18" fillId="0" borderId="1" xfId="0" applyNumberFormat="1" applyFont="1" applyBorder="1" applyAlignment="1">
      <alignment horizontal="center"/>
    </xf>
    <xf numFmtId="165" fontId="21" fillId="10" borderId="1" xfId="1" applyNumberFormat="1" applyFont="1" applyFill="1" applyBorder="1" applyAlignment="1">
      <alignment horizontal="center"/>
    </xf>
    <xf numFmtId="2" fontId="19" fillId="0" borderId="1" xfId="0" applyNumberFormat="1" applyFont="1" applyBorder="1" applyAlignment="1" applyProtection="1">
      <alignment horizontal="center"/>
      <protection locked="0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horizontal="center" vertical="center" wrapText="1"/>
    </xf>
    <xf numFmtId="0" fontId="15" fillId="3" borderId="0" xfId="0" applyFont="1" applyFill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0" fontId="4" fillId="8" borderId="15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16" fillId="9" borderId="1" xfId="0" applyFont="1" applyFill="1" applyBorder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mruColors>
      <color rgb="FFFD765F"/>
      <color rgb="FFFF3D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9819FC-42E4-4F6D-AD4E-9D24650026EB}">
  <we:reference id="wa200010215" version="1.0.0.0" store="he-IL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1266-DA91-4429-B227-65D68CE3AE8E}">
  <dimension ref="B2:L20"/>
  <sheetViews>
    <sheetView showGridLines="0" rightToLeft="1" tabSelected="1" workbookViewId="0">
      <selection activeCell="L22" sqref="L22"/>
    </sheetView>
  </sheetViews>
  <sheetFormatPr defaultRowHeight="14" x14ac:dyDescent="0.3"/>
  <cols>
    <col min="1" max="1" width="2.5" customWidth="1"/>
    <col min="2" max="2" width="18.5" bestFit="1" customWidth="1"/>
    <col min="3" max="3" width="7" bestFit="1" customWidth="1"/>
    <col min="4" max="5" width="10.33203125" bestFit="1" customWidth="1"/>
    <col min="6" max="6" width="7" bestFit="1" customWidth="1"/>
    <col min="7" max="7" width="7.08203125" bestFit="1" customWidth="1"/>
    <col min="8" max="8" width="8" bestFit="1" customWidth="1"/>
    <col min="9" max="9" width="0.58203125" customWidth="1"/>
    <col min="10" max="10" width="10.08203125" bestFit="1" customWidth="1"/>
    <col min="11" max="11" width="14.58203125" bestFit="1" customWidth="1"/>
    <col min="12" max="12" width="9.75" bestFit="1" customWidth="1"/>
    <col min="13" max="13" width="9" customWidth="1"/>
  </cols>
  <sheetData>
    <row r="2" spans="2:12" ht="15.5" x14ac:dyDescent="0.35">
      <c r="B2" s="100" t="str">
        <f ca="1">"פעילויות ויעדים "&amp;TEXT($C$3,"[$-he-IL]mmm yy")</f>
        <v>פעילויות ויעדים יונ 26</v>
      </c>
      <c r="C2" s="101"/>
      <c r="D2" s="101"/>
      <c r="E2" s="101"/>
      <c r="F2" s="101"/>
      <c r="G2" s="101"/>
      <c r="H2" s="102"/>
      <c r="I2" s="1"/>
      <c r="J2" s="95" t="s">
        <v>19</v>
      </c>
      <c r="K2" s="96"/>
      <c r="L2" s="97"/>
    </row>
    <row r="3" spans="2:12" ht="14.5" x14ac:dyDescent="0.35">
      <c r="B3" s="2" t="s">
        <v>0</v>
      </c>
      <c r="C3" s="3">
        <f ca="1">חגים!$B$1</f>
        <v>46174</v>
      </c>
      <c r="D3" s="2" t="s">
        <v>1</v>
      </c>
      <c r="E3" s="2" t="s">
        <v>2</v>
      </c>
      <c r="F3" s="2" t="s">
        <v>3</v>
      </c>
      <c r="G3" s="2" t="s">
        <v>20</v>
      </c>
      <c r="H3" s="2" t="s">
        <v>4</v>
      </c>
      <c r="I3" s="1"/>
      <c r="J3" s="6" t="s">
        <v>6</v>
      </c>
      <c r="K3" s="6" t="s">
        <v>7</v>
      </c>
      <c r="L3" s="6" t="s">
        <v>8</v>
      </c>
    </row>
    <row r="4" spans="2:12" ht="14.5" x14ac:dyDescent="0.35">
      <c r="B4" s="4" t="s">
        <v>5</v>
      </c>
      <c r="C4" s="5">
        <v>25</v>
      </c>
      <c r="D4" s="5">
        <f>'חשבונית-פתוח-בתהליך'!K19</f>
        <v>6</v>
      </c>
      <c r="E4" s="5">
        <f>'חשבונית-פתוח-בתהליך'!D19</f>
        <v>15</v>
      </c>
      <c r="F4" s="5">
        <f>'חשבונית-פתוח-בתהליך'!E19</f>
        <v>7</v>
      </c>
      <c r="G4" s="24">
        <f>D4/C4</f>
        <v>0.24</v>
      </c>
      <c r="H4" s="24">
        <f>(F4+E4+D4)/C4</f>
        <v>1.1200000000000001</v>
      </c>
      <c r="I4" s="1"/>
      <c r="J4" s="65">
        <f ca="1">IFERROR((L4-K4)/L4,0)</f>
        <v>0.36363636363636365</v>
      </c>
      <c r="K4" s="64" cm="1">
        <f t="array" aca="1" ref="K4" ca="1">_xlfn.LET(_xlpm.monthStart,חגים!$B$1,_xlpm.monthEnd,חגים!$A$1,_xlpm.fromDate,MAX(TODAY()+1,_xlpm.monthStart),_xlpm.holidays,_xlfn._xlws.FILTER(חגים!$C$1:$C$100,ISNUMBER(חגים!$C$1:$C$100)),IF(_xlpm.fromDate&gt;_xlpm.monthEnd,0,NETWORKDAYS.INTL(_xlpm.fromDate,_xlpm.monthEnd,"0000110",_xlpm.holidays)))</f>
        <v>14</v>
      </c>
      <c r="L4" s="64" cm="1">
        <f t="array" aca="1" ref="L4" ca="1">_xlfn.LET(_xlpm.monthStart,חגים!$B$1,_xlpm.monthEnd,חגים!$A$1,_xlpm.holidays,_xlfn._xlws.FILTER(חגים!$C$1:$C$100,ISNUMBER(חגים!$C$1:$C$100)),NETWORKDAYS.INTL(_xlpm.monthStart,_xlpm.monthEnd,"0000110",_xlpm.holidays))</f>
        <v>22</v>
      </c>
    </row>
    <row r="5" spans="2:12" ht="14.5" x14ac:dyDescent="0.35">
      <c r="B5" s="4" t="s">
        <v>9</v>
      </c>
      <c r="C5" s="5">
        <v>15</v>
      </c>
      <c r="D5" s="5">
        <f>'חשבונית-פתוח-בתהליך'!K44</f>
        <v>2</v>
      </c>
      <c r="E5" s="5">
        <f>'חשבונית-פתוח-בתהליך'!D44</f>
        <v>5</v>
      </c>
      <c r="F5" s="5">
        <f>'חשבונית-פתוח-בתהליך'!E44</f>
        <v>3</v>
      </c>
      <c r="G5" s="24">
        <f>D5/C5</f>
        <v>0.13333333333333333</v>
      </c>
      <c r="H5" s="24">
        <f>(F5+E5+D5)/C5</f>
        <v>0.66666666666666663</v>
      </c>
      <c r="I5" s="1"/>
    </row>
    <row r="6" spans="2:12" ht="14.5" x14ac:dyDescent="0.35">
      <c r="B6" s="1"/>
      <c r="C6" s="1"/>
      <c r="D6" s="1"/>
      <c r="E6" s="1"/>
      <c r="F6" s="1"/>
      <c r="G6" s="1"/>
      <c r="H6" s="1"/>
      <c r="I6" s="1"/>
    </row>
    <row r="7" spans="2:12" ht="14.5" x14ac:dyDescent="0.35">
      <c r="B7" s="99" t="str">
        <f ca="1">"מיקוד "&amp;TEXT($C$3,"[$-he-IL]mmm yy")&amp;" - משימות איכות"</f>
        <v>מיקוד יונ 26 - משימות איכות</v>
      </c>
      <c r="C7" s="99"/>
      <c r="D7" s="99"/>
      <c r="E7" s="99"/>
      <c r="F7" s="1"/>
      <c r="G7" s="14"/>
      <c r="H7" s="14"/>
      <c r="I7" s="14"/>
      <c r="J7" s="15"/>
    </row>
    <row r="8" spans="2:12" ht="3.75" customHeight="1" x14ac:dyDescent="0.35">
      <c r="B8" s="13"/>
      <c r="C8" s="1"/>
      <c r="D8" s="1"/>
      <c r="E8" s="1"/>
      <c r="F8" s="1"/>
      <c r="G8" s="1"/>
      <c r="H8" s="1"/>
      <c r="I8" s="1"/>
    </row>
    <row r="9" spans="2:12" ht="14.5" x14ac:dyDescent="0.35">
      <c r="B9" s="2" t="s">
        <v>0</v>
      </c>
      <c r="C9" s="7">
        <f ca="1">$C$3</f>
        <v>46174</v>
      </c>
      <c r="D9" s="8" t="s">
        <v>1</v>
      </c>
      <c r="E9" s="2" t="s">
        <v>20</v>
      </c>
      <c r="G9" s="15"/>
      <c r="H9" s="15"/>
      <c r="I9" s="15"/>
      <c r="J9" s="15"/>
    </row>
    <row r="10" spans="2:12" ht="14.5" x14ac:dyDescent="0.35">
      <c r="B10" s="4" t="s">
        <v>5</v>
      </c>
      <c r="C10" s="9">
        <v>4</v>
      </c>
      <c r="D10" s="54"/>
      <c r="E10" s="24">
        <f>D10/C10</f>
        <v>0</v>
      </c>
    </row>
    <row r="11" spans="2:12" ht="14.5" x14ac:dyDescent="0.35">
      <c r="B11" s="4" t="s">
        <v>9</v>
      </c>
      <c r="C11" s="9">
        <v>4</v>
      </c>
      <c r="D11" s="16"/>
      <c r="E11" s="24">
        <f>D11/C11</f>
        <v>0</v>
      </c>
    </row>
    <row r="12" spans="2:12" ht="6" customHeight="1" x14ac:dyDescent="0.3"/>
    <row r="13" spans="2:12" ht="14.5" x14ac:dyDescent="0.3">
      <c r="B13" s="2" t="s">
        <v>35</v>
      </c>
    </row>
    <row r="14" spans="2:12" ht="14.5" x14ac:dyDescent="0.35">
      <c r="B14" s="9" t="s">
        <v>10</v>
      </c>
    </row>
    <row r="15" spans="2:12" ht="14.5" x14ac:dyDescent="0.35">
      <c r="B15" s="9" t="s">
        <v>11</v>
      </c>
    </row>
    <row r="16" spans="2:12" ht="14.5" x14ac:dyDescent="0.35">
      <c r="B16" s="9" t="s">
        <v>12</v>
      </c>
      <c r="I16" s="98"/>
      <c r="J16" s="98"/>
      <c r="K16" s="98"/>
      <c r="L16" s="98"/>
    </row>
    <row r="17" spans="2:3" ht="14.5" x14ac:dyDescent="0.35">
      <c r="B17" s="9" t="s">
        <v>34</v>
      </c>
    </row>
    <row r="18" spans="2:3" ht="14.5" x14ac:dyDescent="0.35">
      <c r="B18" s="9" t="s">
        <v>13</v>
      </c>
    </row>
    <row r="19" spans="2:3" ht="14.5" x14ac:dyDescent="0.35">
      <c r="B19" s="9" t="s">
        <v>36</v>
      </c>
      <c r="C19" t="s">
        <v>125</v>
      </c>
    </row>
    <row r="20" spans="2:3" ht="14.5" x14ac:dyDescent="0.35">
      <c r="B20" s="9" t="s">
        <v>37</v>
      </c>
    </row>
  </sheetData>
  <sheetProtection sort="0"/>
  <mergeCells count="4">
    <mergeCell ref="J2:L2"/>
    <mergeCell ref="I16:L16"/>
    <mergeCell ref="B7:E7"/>
    <mergeCell ref="B2:H2"/>
  </mergeCells>
  <conditionalFormatting sqref="E10:E11">
    <cfRule type="expression" dxfId="3" priority="4">
      <formula>E10&lt;$J$4</formula>
    </cfRule>
  </conditionalFormatting>
  <conditionalFormatting sqref="G4:G5">
    <cfRule type="aboveAverage" dxfId="2" priority="1" aboveAverage="0"/>
    <cfRule type="cellIs" dxfId="1" priority="2" operator="lessThan">
      <formula>$J$4</formula>
    </cfRule>
  </conditionalFormatting>
  <conditionalFormatting sqref="H4:H5">
    <cfRule type="expression" dxfId="0" priority="3">
      <formula>H4&lt;$J$4</formula>
    </cfRule>
  </conditionalFormatting>
  <pageMargins left="0.7" right="0.7" top="0.75" bottom="0.75" header="0.3" footer="0.3"/>
  <pageSetup orientation="portrait" r:id="rId1"/>
  <customProperties>
    <customPr name="_pios_id" r:id="rId2"/>
  </customPropertie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לקוחות חדשים - אור" prompt="לחץ על החץ כדי לראות את הלקוחות החדשים." xr:uid="{9603E8AF-C2C2-495B-847F-46488F2B9D26}">
          <x14:formula1>
            <xm:f>'חשבונית-פתוח-בתהליך'!$U$5:$U$24</xm:f>
          </x14:formula1>
          <xm:sqref>D11</xm:sqref>
        </x14:dataValidation>
        <x14:dataValidation type="list" allowBlank="1" showInputMessage="1" showErrorMessage="1" promptTitle="לקוחות חדשים - אבי" prompt="לחץ על החץ כדי לראות את הלקוחות החדשים." xr:uid="{D70F38E1-4387-4C3F-909E-CD1F0849EB2A}">
          <x14:formula1>
            <xm:f>'חשבונית-פתוח-בתהליך'!$W$5:$W$24</xm:f>
          </x14:formula1>
          <xm:sqref>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9DF9-D7F7-4313-8E91-69E76CCF5B5E}">
  <dimension ref="B1:W45"/>
  <sheetViews>
    <sheetView showGridLines="0" rightToLeft="1" topLeftCell="A9" zoomScale="80" zoomScaleNormal="80" workbookViewId="0">
      <selection activeCell="AA7" sqref="AA7"/>
    </sheetView>
  </sheetViews>
  <sheetFormatPr defaultRowHeight="14" x14ac:dyDescent="0.3"/>
  <cols>
    <col min="1" max="1" width="1.58203125" customWidth="1"/>
    <col min="2" max="2" width="0.58203125" customWidth="1"/>
    <col min="3" max="3" width="33.83203125" bestFit="1" customWidth="1"/>
    <col min="4" max="4" width="13.25" bestFit="1" customWidth="1"/>
    <col min="5" max="5" width="15" customWidth="1"/>
    <col min="6" max="6" width="0.5" customWidth="1"/>
    <col min="7" max="7" width="1.08203125" customWidth="1"/>
    <col min="8" max="8" width="0.5" customWidth="1"/>
    <col min="9" max="9" width="33.83203125" bestFit="1" customWidth="1"/>
    <col min="10" max="10" width="6.75" bestFit="1" customWidth="1"/>
    <col min="11" max="11" width="8.25" bestFit="1" customWidth="1"/>
    <col min="12" max="12" width="6.75" bestFit="1" customWidth="1"/>
    <col min="13" max="13" width="6" bestFit="1" customWidth="1"/>
    <col min="14" max="14" width="0.5" customWidth="1"/>
    <col min="16" max="16" width="15.58203125" hidden="1" customWidth="1"/>
    <col min="17" max="17" width="17.83203125" hidden="1" customWidth="1"/>
    <col min="18" max="19" width="0" hidden="1" customWidth="1"/>
    <col min="21" max="21" width="17" hidden="1" customWidth="1"/>
    <col min="22" max="22" width="0" hidden="1" customWidth="1"/>
    <col min="23" max="23" width="17" hidden="1" customWidth="1"/>
  </cols>
  <sheetData>
    <row r="1" spans="2:23" ht="7.5" customHeight="1" thickBot="1" x14ac:dyDescent="0.35"/>
    <row r="2" spans="2:23" ht="3.75" customHeight="1" thickBot="1" x14ac:dyDescent="0.4">
      <c r="B2" s="38"/>
      <c r="C2" s="41"/>
      <c r="D2" s="42"/>
      <c r="E2" s="41"/>
      <c r="F2" s="42"/>
      <c r="G2" s="72"/>
      <c r="H2" s="33"/>
      <c r="I2" s="27"/>
      <c r="J2" s="28"/>
      <c r="K2" s="27"/>
      <c r="L2" s="27"/>
      <c r="M2" s="27"/>
      <c r="N2" s="37"/>
    </row>
    <row r="3" spans="2:23" ht="13.5" customHeight="1" x14ac:dyDescent="0.35">
      <c r="B3" s="39"/>
      <c r="C3" s="106" t="s">
        <v>18</v>
      </c>
      <c r="D3" s="107"/>
      <c r="E3" s="108"/>
      <c r="F3" s="49"/>
      <c r="G3" s="72"/>
      <c r="H3" s="34"/>
      <c r="I3" s="103" t="s">
        <v>18</v>
      </c>
      <c r="J3" s="104"/>
      <c r="K3" s="104"/>
      <c r="L3" s="104"/>
      <c r="M3" s="105"/>
      <c r="N3" s="29"/>
    </row>
    <row r="4" spans="2:23" ht="14.5" x14ac:dyDescent="0.35">
      <c r="B4" s="39"/>
      <c r="C4" s="50" t="s">
        <v>14</v>
      </c>
      <c r="D4" s="51" t="s">
        <v>15</v>
      </c>
      <c r="E4" s="52" t="s">
        <v>16</v>
      </c>
      <c r="F4" s="43"/>
      <c r="H4" s="34"/>
      <c r="I4" s="21" t="s">
        <v>14</v>
      </c>
      <c r="J4" s="17" t="s">
        <v>41</v>
      </c>
      <c r="K4" s="17" t="s">
        <v>42</v>
      </c>
      <c r="L4" s="17" t="s">
        <v>43</v>
      </c>
      <c r="M4" s="22" t="s">
        <v>38</v>
      </c>
      <c r="N4" s="29"/>
      <c r="U4" t="s">
        <v>56</v>
      </c>
      <c r="W4" t="s">
        <v>57</v>
      </c>
    </row>
    <row r="5" spans="2:23" ht="14.5" x14ac:dyDescent="0.35">
      <c r="B5" s="39"/>
      <c r="C5" s="74" t="s">
        <v>47</v>
      </c>
      <c r="D5" s="73">
        <v>5</v>
      </c>
      <c r="E5" s="75"/>
      <c r="F5" s="43"/>
      <c r="H5" s="34"/>
      <c r="I5" s="55" t="s">
        <v>130</v>
      </c>
      <c r="J5" s="56"/>
      <c r="K5" s="56">
        <v>2</v>
      </c>
      <c r="L5" s="56">
        <v>2</v>
      </c>
      <c r="M5" s="23"/>
      <c r="N5" s="29"/>
    </row>
    <row r="6" spans="2:23" ht="14.5" x14ac:dyDescent="0.35">
      <c r="B6" s="39"/>
      <c r="C6" s="55" t="s">
        <v>44</v>
      </c>
      <c r="D6" s="56">
        <v>3</v>
      </c>
      <c r="E6" s="23"/>
      <c r="F6" s="43"/>
      <c r="H6" s="34"/>
      <c r="I6" s="55" t="s">
        <v>65</v>
      </c>
      <c r="J6" s="56"/>
      <c r="K6" s="56">
        <v>1</v>
      </c>
      <c r="L6" s="56">
        <v>1</v>
      </c>
      <c r="M6" s="23"/>
      <c r="N6" s="29"/>
    </row>
    <row r="7" spans="2:23" ht="14.5" x14ac:dyDescent="0.35">
      <c r="B7" s="39"/>
      <c r="C7" s="55" t="s">
        <v>145</v>
      </c>
      <c r="D7" s="56">
        <v>2</v>
      </c>
      <c r="E7" s="23"/>
      <c r="F7" s="43"/>
      <c r="H7" s="34"/>
      <c r="I7" s="55" t="s">
        <v>146</v>
      </c>
      <c r="J7" s="56"/>
      <c r="K7" s="56">
        <v>1</v>
      </c>
      <c r="L7" s="56"/>
      <c r="M7" s="23"/>
      <c r="N7" s="29"/>
    </row>
    <row r="8" spans="2:23" ht="14.5" x14ac:dyDescent="0.35">
      <c r="B8" s="39"/>
      <c r="C8" s="55" t="s">
        <v>127</v>
      </c>
      <c r="D8" s="56">
        <v>1</v>
      </c>
      <c r="E8" s="23"/>
      <c r="F8" s="44"/>
      <c r="H8" s="34"/>
      <c r="I8" s="55" t="s">
        <v>45</v>
      </c>
      <c r="J8" s="56"/>
      <c r="K8" s="56">
        <v>1</v>
      </c>
      <c r="L8" s="56">
        <v>1</v>
      </c>
      <c r="M8" s="23"/>
      <c r="N8" s="29"/>
    </row>
    <row r="9" spans="2:23" ht="14.5" x14ac:dyDescent="0.35">
      <c r="B9" s="39"/>
      <c r="C9" s="55" t="s">
        <v>48</v>
      </c>
      <c r="D9" s="56">
        <v>1</v>
      </c>
      <c r="E9" s="23"/>
      <c r="F9" s="44"/>
      <c r="H9" s="34"/>
      <c r="I9" s="55" t="s">
        <v>66</v>
      </c>
      <c r="J9" s="56"/>
      <c r="K9" s="56">
        <v>1</v>
      </c>
      <c r="L9" s="56">
        <v>1</v>
      </c>
      <c r="M9" s="23"/>
      <c r="N9" s="29"/>
    </row>
    <row r="10" spans="2:23" ht="14.5" x14ac:dyDescent="0.35">
      <c r="B10" s="39"/>
      <c r="C10" s="55" t="s">
        <v>128</v>
      </c>
      <c r="D10" s="56">
        <v>1</v>
      </c>
      <c r="E10" s="23"/>
      <c r="F10" s="44"/>
      <c r="H10" s="34"/>
      <c r="I10" s="55" t="s">
        <v>50</v>
      </c>
      <c r="J10" s="56"/>
      <c r="K10" s="56"/>
      <c r="L10" s="56">
        <v>1</v>
      </c>
      <c r="M10" s="23"/>
      <c r="N10" s="29"/>
    </row>
    <row r="11" spans="2:23" ht="14.5" x14ac:dyDescent="0.35">
      <c r="B11" s="39"/>
      <c r="C11" s="55" t="s">
        <v>46</v>
      </c>
      <c r="D11" s="56">
        <v>1</v>
      </c>
      <c r="E11" s="23"/>
      <c r="F11" s="44"/>
      <c r="H11" s="34"/>
      <c r="I11" s="55" t="s">
        <v>64</v>
      </c>
      <c r="J11" s="56"/>
      <c r="K11" s="56"/>
      <c r="L11" s="56">
        <v>2</v>
      </c>
      <c r="M11" s="23"/>
      <c r="N11" s="29"/>
    </row>
    <row r="12" spans="2:23" ht="14.5" x14ac:dyDescent="0.35">
      <c r="B12" s="39"/>
      <c r="C12" s="55" t="s">
        <v>129</v>
      </c>
      <c r="D12" s="56">
        <v>1</v>
      </c>
      <c r="E12" s="23"/>
      <c r="F12" s="44"/>
      <c r="H12" s="34"/>
      <c r="I12" s="55" t="s">
        <v>51</v>
      </c>
      <c r="J12" s="56"/>
      <c r="K12" s="56"/>
      <c r="L12" s="56">
        <v>2</v>
      </c>
      <c r="M12" s="23"/>
      <c r="N12" s="29"/>
    </row>
    <row r="13" spans="2:23" ht="14.5" x14ac:dyDescent="0.35">
      <c r="B13" s="39"/>
      <c r="C13" s="55" t="s">
        <v>66</v>
      </c>
      <c r="D13" s="56"/>
      <c r="E13" s="23">
        <v>1</v>
      </c>
      <c r="F13" s="44"/>
      <c r="H13" s="34"/>
      <c r="I13" s="55"/>
      <c r="J13" s="56"/>
      <c r="K13" s="56"/>
      <c r="L13" s="56"/>
      <c r="M13" s="23"/>
      <c r="N13" s="29"/>
    </row>
    <row r="14" spans="2:23" ht="14.5" x14ac:dyDescent="0.35">
      <c r="B14" s="39"/>
      <c r="C14" s="55" t="s">
        <v>65</v>
      </c>
      <c r="D14" s="56"/>
      <c r="E14" s="23">
        <v>1</v>
      </c>
      <c r="F14" s="44"/>
      <c r="H14" s="34"/>
      <c r="I14" s="55"/>
      <c r="J14" s="56"/>
      <c r="K14" s="56"/>
      <c r="L14" s="56"/>
      <c r="M14" s="25"/>
      <c r="N14" s="29"/>
    </row>
    <row r="15" spans="2:23" ht="14.5" x14ac:dyDescent="0.35">
      <c r="B15" s="39"/>
      <c r="C15" s="55" t="s">
        <v>146</v>
      </c>
      <c r="D15" s="56"/>
      <c r="E15" s="23">
        <v>1</v>
      </c>
      <c r="F15" s="44"/>
      <c r="H15" s="34"/>
      <c r="I15" s="55"/>
      <c r="J15" s="56"/>
      <c r="K15" s="56"/>
      <c r="L15" s="56"/>
      <c r="M15" s="25"/>
      <c r="N15" s="29"/>
    </row>
    <row r="16" spans="2:23" ht="14.5" x14ac:dyDescent="0.35">
      <c r="B16" s="39"/>
      <c r="C16" s="55" t="s">
        <v>130</v>
      </c>
      <c r="D16" s="56"/>
      <c r="E16" s="23">
        <v>2</v>
      </c>
      <c r="F16" s="44"/>
      <c r="H16" s="34"/>
      <c r="I16" s="55"/>
      <c r="J16" s="56"/>
      <c r="K16" s="56"/>
      <c r="L16" s="56"/>
      <c r="M16" s="25"/>
      <c r="N16" s="29"/>
    </row>
    <row r="17" spans="2:23" ht="14.5" x14ac:dyDescent="0.35">
      <c r="B17" s="39"/>
      <c r="C17" s="55" t="s">
        <v>45</v>
      </c>
      <c r="D17" s="56"/>
      <c r="E17" s="23">
        <v>2</v>
      </c>
      <c r="F17" s="44"/>
      <c r="H17" s="34"/>
      <c r="I17" s="55"/>
      <c r="J17" s="56"/>
      <c r="K17" s="56"/>
      <c r="L17" s="56"/>
      <c r="M17" s="25"/>
      <c r="N17" s="29"/>
    </row>
    <row r="18" spans="2:23" ht="14.5" x14ac:dyDescent="0.35">
      <c r="B18" s="39"/>
      <c r="C18" s="55"/>
      <c r="D18" s="56"/>
      <c r="E18" s="23"/>
      <c r="F18" s="44"/>
      <c r="H18" s="34"/>
      <c r="I18" s="55"/>
      <c r="J18" s="56"/>
      <c r="K18" s="56"/>
      <c r="L18" s="56"/>
      <c r="M18" s="23"/>
      <c r="N18" s="29"/>
    </row>
    <row r="19" spans="2:23" ht="15" thickBot="1" x14ac:dyDescent="0.4">
      <c r="B19" s="39"/>
      <c r="C19" s="18"/>
      <c r="D19" s="19">
        <f>SUM(D5:D18)</f>
        <v>15</v>
      </c>
      <c r="E19" s="20">
        <f>SUM(E5:E18)</f>
        <v>7</v>
      </c>
      <c r="F19" s="45"/>
      <c r="H19" s="34"/>
      <c r="I19" s="18"/>
      <c r="J19" s="19">
        <f>SUM(J5:J18)</f>
        <v>0</v>
      </c>
      <c r="K19" s="19">
        <f>SUM(K5:K18)</f>
        <v>6</v>
      </c>
      <c r="L19" s="66">
        <f>SUM(L5:L18)</f>
        <v>10</v>
      </c>
      <c r="M19" s="20" cm="1">
        <f t="array" ref="M19">SUMPRODUCT(--(TRIM(M6:N18)="כן"))</f>
        <v>0</v>
      </c>
      <c r="N19" s="29"/>
    </row>
    <row r="20" spans="2:23" ht="4.5" customHeight="1" thickBot="1" x14ac:dyDescent="0.4">
      <c r="B20" s="39"/>
      <c r="C20" s="48"/>
      <c r="D20" s="49"/>
      <c r="E20" s="48"/>
      <c r="F20" s="46"/>
      <c r="H20" s="34"/>
      <c r="I20" s="35"/>
      <c r="J20" s="36"/>
      <c r="K20" s="35"/>
      <c r="L20" s="35"/>
      <c r="M20" s="35"/>
      <c r="N20" s="29"/>
    </row>
    <row r="21" spans="2:23" ht="13.5" customHeight="1" x14ac:dyDescent="0.35">
      <c r="B21" s="70"/>
      <c r="C21" s="109" t="s">
        <v>9</v>
      </c>
      <c r="D21" s="110"/>
      <c r="E21" s="111"/>
      <c r="F21" s="67"/>
      <c r="H21" s="34"/>
      <c r="I21" s="103" t="s">
        <v>9</v>
      </c>
      <c r="J21" s="104"/>
      <c r="K21" s="104"/>
      <c r="L21" s="104"/>
      <c r="M21" s="105"/>
      <c r="N21" s="29"/>
    </row>
    <row r="22" spans="2:23" ht="14.5" x14ac:dyDescent="0.35">
      <c r="B22" s="70"/>
      <c r="C22" s="50" t="s">
        <v>14</v>
      </c>
      <c r="D22" s="51" t="s">
        <v>15</v>
      </c>
      <c r="E22" s="52" t="s">
        <v>16</v>
      </c>
      <c r="F22" s="67"/>
      <c r="H22" s="34"/>
      <c r="I22" s="21" t="s">
        <v>14</v>
      </c>
      <c r="J22" s="17" t="s">
        <v>41</v>
      </c>
      <c r="K22" s="17" t="s">
        <v>42</v>
      </c>
      <c r="L22" s="17" t="s">
        <v>43</v>
      </c>
      <c r="M22" s="22" t="s">
        <v>38</v>
      </c>
      <c r="N22" s="29"/>
    </row>
    <row r="23" spans="2:23" ht="14.5" x14ac:dyDescent="0.35">
      <c r="B23" s="70"/>
      <c r="C23" s="57" t="s">
        <v>53</v>
      </c>
      <c r="D23" s="56">
        <v>2</v>
      </c>
      <c r="E23" s="23"/>
      <c r="F23" s="68">
        <v>13</v>
      </c>
      <c r="H23" s="34"/>
      <c r="I23" s="58" t="s">
        <v>55</v>
      </c>
      <c r="J23" s="59"/>
      <c r="K23" s="59">
        <v>1</v>
      </c>
      <c r="L23" s="59"/>
      <c r="M23" s="60"/>
      <c r="N23" s="29"/>
    </row>
    <row r="24" spans="2:23" ht="14.5" x14ac:dyDescent="0.35">
      <c r="B24" s="70"/>
      <c r="C24" s="57" t="s">
        <v>131</v>
      </c>
      <c r="D24" s="56">
        <v>2</v>
      </c>
      <c r="E24" s="23"/>
      <c r="F24" s="68">
        <v>4</v>
      </c>
      <c r="H24" s="34"/>
      <c r="I24" s="58" t="s">
        <v>132</v>
      </c>
      <c r="J24" s="59"/>
      <c r="K24" s="59">
        <v>1</v>
      </c>
      <c r="L24" s="59">
        <v>1</v>
      </c>
      <c r="M24" s="60"/>
      <c r="N24" s="29"/>
    </row>
    <row r="25" spans="2:23" ht="14.5" x14ac:dyDescent="0.35">
      <c r="B25" s="70"/>
      <c r="C25" s="57" t="s">
        <v>49</v>
      </c>
      <c r="D25" s="56">
        <v>1</v>
      </c>
      <c r="E25" s="23"/>
      <c r="F25" s="68">
        <v>3</v>
      </c>
      <c r="H25" s="34"/>
      <c r="I25" s="58" t="s">
        <v>126</v>
      </c>
      <c r="J25" s="59"/>
      <c r="K25" s="59"/>
      <c r="L25" s="59">
        <v>1</v>
      </c>
      <c r="M25" s="60"/>
      <c r="N25" s="29"/>
    </row>
    <row r="26" spans="2:23" ht="14.5" x14ac:dyDescent="0.35">
      <c r="B26" s="70"/>
      <c r="C26" s="57" t="s">
        <v>55</v>
      </c>
      <c r="D26" s="56"/>
      <c r="E26" s="23">
        <v>1</v>
      </c>
      <c r="F26" s="68"/>
      <c r="H26" s="34"/>
      <c r="I26" s="58" t="s">
        <v>67</v>
      </c>
      <c r="J26" s="59"/>
      <c r="K26" s="59"/>
      <c r="L26" s="59">
        <v>1</v>
      </c>
      <c r="M26" s="60"/>
      <c r="N26" s="29"/>
    </row>
    <row r="27" spans="2:23" ht="14.5" x14ac:dyDescent="0.35">
      <c r="B27" s="70"/>
      <c r="C27" s="57" t="s">
        <v>52</v>
      </c>
      <c r="D27" s="56"/>
      <c r="E27" s="23">
        <v>1</v>
      </c>
      <c r="F27" s="68">
        <v>2</v>
      </c>
      <c r="H27" s="34"/>
      <c r="I27" s="58" t="s">
        <v>52</v>
      </c>
      <c r="J27" s="59"/>
      <c r="K27" s="59"/>
      <c r="L27" s="59">
        <v>1</v>
      </c>
      <c r="M27" s="60"/>
      <c r="N27" s="29"/>
    </row>
    <row r="28" spans="2:23" ht="14.5" x14ac:dyDescent="0.35">
      <c r="B28" s="70"/>
      <c r="C28" s="57" t="s">
        <v>132</v>
      </c>
      <c r="D28" s="56"/>
      <c r="E28" s="23">
        <v>1</v>
      </c>
      <c r="F28" s="68"/>
      <c r="H28" s="34"/>
      <c r="I28" s="58" t="s">
        <v>54</v>
      </c>
      <c r="J28" s="59"/>
      <c r="K28" s="59"/>
      <c r="L28" s="59">
        <v>1</v>
      </c>
      <c r="M28" s="60"/>
      <c r="N28" s="29"/>
      <c r="U28">
        <v>2</v>
      </c>
      <c r="V28">
        <v>7</v>
      </c>
      <c r="W28">
        <v>7</v>
      </c>
    </row>
    <row r="29" spans="2:23" ht="14.5" x14ac:dyDescent="0.35">
      <c r="B29" s="70"/>
      <c r="C29" s="57"/>
      <c r="D29" s="56"/>
      <c r="E29" s="23"/>
      <c r="F29" s="68">
        <v>1</v>
      </c>
      <c r="H29" s="34"/>
      <c r="I29" s="58" t="s">
        <v>68</v>
      </c>
      <c r="J29" s="59"/>
      <c r="K29" s="59"/>
      <c r="L29" s="59">
        <v>1</v>
      </c>
      <c r="M29" s="60"/>
      <c r="N29" s="29"/>
      <c r="U29">
        <v>5</v>
      </c>
      <c r="V29">
        <v>6</v>
      </c>
      <c r="W29">
        <v>6</v>
      </c>
    </row>
    <row r="30" spans="2:23" ht="14.5" x14ac:dyDescent="0.35">
      <c r="B30" s="70"/>
      <c r="C30" s="57"/>
      <c r="D30" s="56"/>
      <c r="E30" s="23"/>
      <c r="F30" s="68"/>
      <c r="H30" s="34"/>
      <c r="I30" s="58"/>
      <c r="J30" s="59"/>
      <c r="K30" s="59"/>
      <c r="L30" s="59"/>
      <c r="M30" s="60"/>
      <c r="N30" s="29"/>
      <c r="U30">
        <v>3</v>
      </c>
      <c r="V30">
        <v>4</v>
      </c>
      <c r="W30">
        <v>6</v>
      </c>
    </row>
    <row r="31" spans="2:23" ht="14.5" x14ac:dyDescent="0.35">
      <c r="B31" s="70"/>
      <c r="C31" s="57"/>
      <c r="D31" s="56"/>
      <c r="E31" s="23"/>
      <c r="F31" s="68"/>
      <c r="H31" s="34"/>
      <c r="I31" s="58"/>
      <c r="J31" s="59"/>
      <c r="K31" s="59"/>
      <c r="L31" s="59"/>
      <c r="M31" s="60"/>
      <c r="N31" s="29"/>
      <c r="T31" s="53"/>
      <c r="U31">
        <v>3</v>
      </c>
      <c r="V31">
        <v>3</v>
      </c>
      <c r="W31">
        <v>3</v>
      </c>
    </row>
    <row r="32" spans="2:23" ht="14.5" x14ac:dyDescent="0.35">
      <c r="B32" s="70"/>
      <c r="C32" s="57"/>
      <c r="D32" s="56"/>
      <c r="E32" s="23"/>
      <c r="F32" s="68">
        <v>1</v>
      </c>
      <c r="H32" s="34"/>
      <c r="I32" s="58"/>
      <c r="J32" s="59"/>
      <c r="K32" s="59"/>
      <c r="L32" s="59"/>
      <c r="M32" s="60"/>
      <c r="N32" s="29"/>
      <c r="V32">
        <v>2</v>
      </c>
    </row>
    <row r="33" spans="2:23" ht="14.5" x14ac:dyDescent="0.35">
      <c r="B33" s="70"/>
      <c r="C33" s="57"/>
      <c r="D33" s="56"/>
      <c r="E33" s="23"/>
      <c r="F33" s="68">
        <v>1</v>
      </c>
      <c r="H33" s="34"/>
      <c r="I33" s="58"/>
      <c r="J33" s="59"/>
      <c r="K33" s="59"/>
      <c r="L33" s="59"/>
      <c r="M33" s="60"/>
      <c r="N33" s="29"/>
      <c r="U33">
        <v>1</v>
      </c>
      <c r="V33">
        <v>1</v>
      </c>
      <c r="W33">
        <v>1</v>
      </c>
    </row>
    <row r="34" spans="2:23" ht="14.5" x14ac:dyDescent="0.35">
      <c r="B34" s="70"/>
      <c r="C34" s="57"/>
      <c r="D34" s="56"/>
      <c r="E34" s="23"/>
      <c r="F34" s="68">
        <v>1</v>
      </c>
      <c r="H34" s="34"/>
      <c r="I34" s="58"/>
      <c r="J34" s="59"/>
      <c r="K34" s="59"/>
      <c r="L34" s="59"/>
      <c r="M34" s="60"/>
      <c r="N34" s="29"/>
      <c r="U34">
        <v>1</v>
      </c>
      <c r="V34">
        <v>1</v>
      </c>
      <c r="W34">
        <v>1</v>
      </c>
    </row>
    <row r="35" spans="2:23" ht="14.5" x14ac:dyDescent="0.35">
      <c r="B35" s="70"/>
      <c r="C35" s="57"/>
      <c r="D35" s="56"/>
      <c r="E35" s="23"/>
      <c r="F35" s="68">
        <v>1</v>
      </c>
      <c r="H35" s="34"/>
      <c r="I35" s="58"/>
      <c r="J35" s="59"/>
      <c r="K35" s="59"/>
      <c r="L35" s="59"/>
      <c r="M35" s="60"/>
      <c r="N35" s="29"/>
      <c r="U35">
        <v>1</v>
      </c>
      <c r="V35">
        <v>1</v>
      </c>
      <c r="W35">
        <v>1</v>
      </c>
    </row>
    <row r="36" spans="2:23" ht="14.5" x14ac:dyDescent="0.35">
      <c r="B36" s="70"/>
      <c r="C36" s="57"/>
      <c r="D36" s="56"/>
      <c r="E36" s="23"/>
      <c r="F36" s="68"/>
      <c r="H36" s="34"/>
      <c r="I36" s="58"/>
      <c r="J36" s="59"/>
      <c r="K36" s="59"/>
      <c r="L36" s="59"/>
      <c r="M36" s="60"/>
      <c r="N36" s="29"/>
      <c r="V36">
        <v>1</v>
      </c>
    </row>
    <row r="37" spans="2:23" ht="14.5" x14ac:dyDescent="0.35">
      <c r="B37" s="70"/>
      <c r="C37" s="57"/>
      <c r="D37" s="56"/>
      <c r="E37" s="23"/>
      <c r="F37" s="68"/>
      <c r="H37" s="34"/>
      <c r="I37" s="58"/>
      <c r="J37" s="59"/>
      <c r="K37" s="59"/>
      <c r="L37" s="59"/>
      <c r="M37" s="60"/>
      <c r="N37" s="29"/>
      <c r="V37">
        <v>1</v>
      </c>
      <c r="W37">
        <v>1</v>
      </c>
    </row>
    <row r="38" spans="2:23" ht="14.5" x14ac:dyDescent="0.35">
      <c r="B38" s="70"/>
      <c r="C38" s="57"/>
      <c r="D38" s="56"/>
      <c r="E38" s="23"/>
      <c r="F38" s="68"/>
      <c r="H38" s="34"/>
      <c r="I38" s="58"/>
      <c r="J38" s="59"/>
      <c r="K38" s="59"/>
      <c r="L38" s="59"/>
      <c r="M38" s="61"/>
      <c r="N38" s="29"/>
      <c r="V38">
        <v>1</v>
      </c>
    </row>
    <row r="39" spans="2:23" ht="14.5" x14ac:dyDescent="0.35">
      <c r="B39" s="70"/>
      <c r="C39" s="55"/>
      <c r="D39" s="56"/>
      <c r="E39" s="23"/>
      <c r="F39" s="68"/>
      <c r="H39" s="34"/>
      <c r="I39" s="58"/>
      <c r="J39" s="59"/>
      <c r="K39" s="59"/>
      <c r="L39" s="59"/>
      <c r="M39" s="61"/>
      <c r="N39" s="29"/>
      <c r="V39">
        <v>1</v>
      </c>
      <c r="W39">
        <v>1</v>
      </c>
    </row>
    <row r="40" spans="2:23" ht="14.5" x14ac:dyDescent="0.35">
      <c r="B40" s="70"/>
      <c r="C40" s="55"/>
      <c r="D40" s="56"/>
      <c r="E40" s="23"/>
      <c r="F40" s="68"/>
      <c r="H40" s="34"/>
      <c r="I40" s="58"/>
      <c r="J40" s="59"/>
      <c r="K40" s="59"/>
      <c r="L40" s="62"/>
      <c r="M40" s="61"/>
      <c r="N40" s="29"/>
      <c r="W40">
        <v>1</v>
      </c>
    </row>
    <row r="41" spans="2:23" ht="14.5" x14ac:dyDescent="0.35">
      <c r="B41" s="70"/>
      <c r="C41" s="55"/>
      <c r="D41" s="56"/>
      <c r="E41" s="23"/>
      <c r="F41" s="68"/>
      <c r="H41" s="34"/>
      <c r="I41" s="58"/>
      <c r="J41" s="59"/>
      <c r="K41" s="59"/>
      <c r="L41" s="62"/>
      <c r="M41" s="61"/>
      <c r="N41" s="29"/>
    </row>
    <row r="42" spans="2:23" ht="14.5" x14ac:dyDescent="0.35">
      <c r="B42" s="70"/>
      <c r="C42" s="55"/>
      <c r="D42" s="56"/>
      <c r="E42" s="23"/>
      <c r="F42" s="68"/>
      <c r="H42" s="34"/>
      <c r="I42" s="58"/>
      <c r="J42" s="59"/>
      <c r="K42" s="59"/>
      <c r="L42" s="62"/>
      <c r="M42" s="61"/>
      <c r="N42" s="29"/>
    </row>
    <row r="43" spans="2:23" ht="14.5" x14ac:dyDescent="0.35">
      <c r="B43" s="70"/>
      <c r="C43" s="55"/>
      <c r="D43" s="56"/>
      <c r="E43" s="23"/>
      <c r="F43" s="68"/>
      <c r="H43" s="34"/>
      <c r="I43" s="58"/>
      <c r="J43" s="59"/>
      <c r="K43" s="59"/>
      <c r="L43" s="62"/>
      <c r="M43" s="63"/>
      <c r="N43" s="29"/>
    </row>
    <row r="44" spans="2:23" ht="15" thickBot="1" x14ac:dyDescent="0.4">
      <c r="B44" s="70"/>
      <c r="C44" s="18" t="s">
        <v>17</v>
      </c>
      <c r="D44" s="19">
        <f>SUM(D23:D39)</f>
        <v>5</v>
      </c>
      <c r="E44" s="20">
        <f>SUM(E23:E43)</f>
        <v>3</v>
      </c>
      <c r="F44" s="69"/>
      <c r="H44" s="34"/>
      <c r="I44" s="18" t="s">
        <v>17</v>
      </c>
      <c r="J44" s="19">
        <f>SUM(J23:J43)</f>
        <v>0</v>
      </c>
      <c r="K44" s="19">
        <f>SUM(K23:K43)</f>
        <v>2</v>
      </c>
      <c r="L44" s="19">
        <f>SUM(L23:L43)</f>
        <v>6</v>
      </c>
      <c r="M44" s="26" cm="1">
        <f t="array" ref="M44">SUMPRODUCT(--(TRIM(M23:M43)="כן"))</f>
        <v>0</v>
      </c>
      <c r="N44" s="29"/>
    </row>
    <row r="45" spans="2:23" ht="4.5" customHeight="1" thickBot="1" x14ac:dyDescent="0.35">
      <c r="B45" s="40"/>
      <c r="C45" s="71"/>
      <c r="D45" s="71"/>
      <c r="E45" s="71"/>
      <c r="F45" s="47"/>
      <c r="H45" s="31"/>
      <c r="I45" s="32"/>
      <c r="J45" s="32"/>
      <c r="K45" s="32"/>
      <c r="L45" s="32"/>
      <c r="M45" s="32"/>
      <c r="N45" s="30"/>
    </row>
  </sheetData>
  <sheetProtection sort="0"/>
  <mergeCells count="4">
    <mergeCell ref="I21:M21"/>
    <mergeCell ref="I3:M3"/>
    <mergeCell ref="C3:E3"/>
    <mergeCell ref="C21:E21"/>
  </mergeCells>
  <pageMargins left="0.7" right="0.7" top="0.75" bottom="0.75" header="0.3" footer="0.3"/>
  <customProperties>
    <customPr name="_pios_id" r:id="rId1"/>
  </customProperties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B2349D-B217-4A25-AABB-C95C12F9938D}">
          <x14:formula1>
            <xm:f>חגים!$A$23</xm:f>
          </x14:formula1>
          <xm:sqref>M23:M43 F23:F43 F8:F18 M5:M18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231E7-2034-478E-A2C1-C91B60E9F812}">
  <dimension ref="A1:F6"/>
  <sheetViews>
    <sheetView rightToLeft="1" workbookViewId="0">
      <selection activeCell="H7" sqref="H7"/>
    </sheetView>
  </sheetViews>
  <sheetFormatPr defaultRowHeight="14" x14ac:dyDescent="0.3"/>
  <cols>
    <col min="1" max="1" width="15.6640625" customWidth="1"/>
    <col min="4" max="4" width="7.5" bestFit="1" customWidth="1"/>
    <col min="5" max="5" width="7.58203125" bestFit="1" customWidth="1"/>
    <col min="6" max="6" width="4.25" bestFit="1" customWidth="1"/>
  </cols>
  <sheetData>
    <row r="1" spans="1:6" ht="15.5" x14ac:dyDescent="0.35">
      <c r="A1" s="112" t="s">
        <v>133</v>
      </c>
      <c r="B1" s="112"/>
      <c r="C1" s="112"/>
      <c r="D1" s="112"/>
      <c r="E1" s="112"/>
      <c r="F1" s="112"/>
    </row>
    <row r="2" spans="1:6" ht="15.5" x14ac:dyDescent="0.3">
      <c r="A2" s="76" t="s">
        <v>0</v>
      </c>
      <c r="B2" s="77">
        <v>46143</v>
      </c>
      <c r="C2" s="76" t="s">
        <v>1</v>
      </c>
      <c r="D2" s="76" t="s">
        <v>2</v>
      </c>
      <c r="E2" s="76" t="s">
        <v>3</v>
      </c>
      <c r="F2" s="76" t="s">
        <v>134</v>
      </c>
    </row>
    <row r="3" spans="1:6" ht="15.5" x14ac:dyDescent="0.35">
      <c r="A3" s="78" t="s">
        <v>5</v>
      </c>
      <c r="B3" s="79">
        <v>30</v>
      </c>
      <c r="C3" s="79">
        <f>'חשבונית-פתוח-בתהליך'!K19</f>
        <v>6</v>
      </c>
      <c r="D3" s="79">
        <f>'חשבונית-פתוח-בתהליך'!D19</f>
        <v>15</v>
      </c>
      <c r="E3" s="79">
        <f>'חשבונית-פתוח-בתהליך'!E19</f>
        <v>7</v>
      </c>
      <c r="F3" s="80">
        <f>(D3+C3+E3)/B3</f>
        <v>0.93333333333333335</v>
      </c>
    </row>
    <row r="4" spans="1:6" ht="15.5" x14ac:dyDescent="0.35">
      <c r="A4" s="78" t="s">
        <v>9</v>
      </c>
      <c r="B4" s="79">
        <v>22</v>
      </c>
      <c r="C4" s="79">
        <f>'חשבונית-פתוח-בתהליך'!K44</f>
        <v>2</v>
      </c>
      <c r="D4" s="79">
        <f>'חשבונית-פתוח-בתהליך'!D44</f>
        <v>5</v>
      </c>
      <c r="E4" s="79">
        <f>'חשבונית-פתוח-בתהליך'!E44</f>
        <v>3</v>
      </c>
      <c r="F4" s="80">
        <f>(D4+C4+E4)/B4</f>
        <v>0.45454545454545453</v>
      </c>
    </row>
    <row r="5" spans="1:6" ht="15.5" x14ac:dyDescent="0.35">
      <c r="A5" s="81"/>
      <c r="B5" s="81"/>
      <c r="C5" s="81"/>
      <c r="D5" s="81"/>
      <c r="E5" s="81"/>
      <c r="F5" s="81"/>
    </row>
    <row r="6" spans="1:6" ht="15.5" x14ac:dyDescent="0.35">
      <c r="A6" s="82" t="s">
        <v>144</v>
      </c>
      <c r="B6" s="82"/>
      <c r="C6" s="82"/>
      <c r="D6" s="82"/>
      <c r="E6" s="82"/>
      <c r="F6" s="94"/>
    </row>
  </sheetData>
  <mergeCells count="1">
    <mergeCell ref="A1:F1"/>
  </mergeCells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0011-F026-44EC-8F26-FC8036681878}">
  <dimension ref="B1:G50"/>
  <sheetViews>
    <sheetView rightToLeft="1" workbookViewId="0">
      <selection activeCell="M38" sqref="M38"/>
    </sheetView>
  </sheetViews>
  <sheetFormatPr defaultRowHeight="14.5" x14ac:dyDescent="0.35"/>
  <cols>
    <col min="1" max="1" width="1.5" customWidth="1"/>
    <col min="2" max="2" width="24.83203125" style="1" bestFit="1" customWidth="1"/>
    <col min="3" max="3" width="18.58203125" style="1" bestFit="1" customWidth="1"/>
    <col min="4" max="4" width="9.08203125" style="1" bestFit="1" customWidth="1"/>
    <col min="5" max="5" width="6.83203125" style="1" bestFit="1" customWidth="1"/>
    <col min="6" max="6" width="11.83203125" style="1" bestFit="1" customWidth="1"/>
    <col min="7" max="7" width="14.08203125" style="1" bestFit="1" customWidth="1"/>
  </cols>
  <sheetData>
    <row r="1" spans="2:7" ht="9" customHeight="1" x14ac:dyDescent="0.35"/>
    <row r="2" spans="2:7" ht="16" x14ac:dyDescent="0.4">
      <c r="B2" s="113" t="s">
        <v>135</v>
      </c>
      <c r="C2" s="113"/>
      <c r="D2" s="113"/>
      <c r="E2" s="113"/>
      <c r="F2" s="113"/>
      <c r="G2" s="113"/>
    </row>
    <row r="3" spans="2:7" x14ac:dyDescent="0.35">
      <c r="B3" s="83" t="s">
        <v>69</v>
      </c>
      <c r="C3" s="83" t="s">
        <v>70</v>
      </c>
      <c r="D3" s="83" t="s">
        <v>71</v>
      </c>
      <c r="E3" s="83" t="s">
        <v>72</v>
      </c>
      <c r="F3" s="84" t="s">
        <v>73</v>
      </c>
      <c r="G3" s="83" t="s">
        <v>74</v>
      </c>
    </row>
    <row r="4" spans="2:7" x14ac:dyDescent="0.35">
      <c r="B4" s="85" t="s">
        <v>75</v>
      </c>
      <c r="C4" s="85" t="s">
        <v>76</v>
      </c>
      <c r="D4" s="86">
        <v>219990</v>
      </c>
      <c r="E4" s="87">
        <v>6.5000000000000002E-2</v>
      </c>
      <c r="F4" s="88">
        <f t="shared" ref="F4:F50" si="0">E4*D4</f>
        <v>14299.35</v>
      </c>
      <c r="G4" s="88">
        <f t="shared" ref="G4:G50" si="1">D4-F4</f>
        <v>205690.65</v>
      </c>
    </row>
    <row r="5" spans="2:7" x14ac:dyDescent="0.35">
      <c r="B5" s="85" t="s">
        <v>75</v>
      </c>
      <c r="C5" s="85" t="s">
        <v>77</v>
      </c>
      <c r="D5" s="86">
        <v>234990</v>
      </c>
      <c r="E5" s="89">
        <v>7.4999999999999997E-2</v>
      </c>
      <c r="F5" s="88">
        <f t="shared" si="0"/>
        <v>17624.25</v>
      </c>
      <c r="G5" s="88">
        <f t="shared" si="1"/>
        <v>217365.75</v>
      </c>
    </row>
    <row r="6" spans="2:7" x14ac:dyDescent="0.35">
      <c r="B6" s="85" t="s">
        <v>78</v>
      </c>
      <c r="C6" s="85" t="s">
        <v>79</v>
      </c>
      <c r="D6" s="86">
        <v>196990</v>
      </c>
      <c r="E6" s="89">
        <v>0.11</v>
      </c>
      <c r="F6" s="88">
        <f t="shared" si="0"/>
        <v>21668.9</v>
      </c>
      <c r="G6" s="88">
        <f t="shared" si="1"/>
        <v>175321.1</v>
      </c>
    </row>
    <row r="7" spans="2:7" x14ac:dyDescent="0.35">
      <c r="B7" s="85" t="s">
        <v>78</v>
      </c>
      <c r="C7" s="85" t="s">
        <v>80</v>
      </c>
      <c r="D7" s="86">
        <v>209990</v>
      </c>
      <c r="E7" s="89">
        <v>0.05</v>
      </c>
      <c r="F7" s="88">
        <f t="shared" si="0"/>
        <v>10499.5</v>
      </c>
      <c r="G7" s="88">
        <f t="shared" si="1"/>
        <v>199490.5</v>
      </c>
    </row>
    <row r="8" spans="2:7" x14ac:dyDescent="0.35">
      <c r="B8" s="85" t="s">
        <v>78</v>
      </c>
      <c r="C8" s="85" t="s">
        <v>81</v>
      </c>
      <c r="D8" s="86">
        <v>224990</v>
      </c>
      <c r="E8" s="89">
        <v>0.05</v>
      </c>
      <c r="F8" s="88">
        <f t="shared" si="0"/>
        <v>11249.5</v>
      </c>
      <c r="G8" s="88">
        <f t="shared" si="1"/>
        <v>213740.5</v>
      </c>
    </row>
    <row r="9" spans="2:7" x14ac:dyDescent="0.35">
      <c r="B9" s="85" t="s">
        <v>78</v>
      </c>
      <c r="C9" s="85" t="s">
        <v>82</v>
      </c>
      <c r="D9" s="86">
        <v>188990</v>
      </c>
      <c r="E9" s="89">
        <v>0.11</v>
      </c>
      <c r="F9" s="88">
        <f t="shared" si="0"/>
        <v>20788.900000000001</v>
      </c>
      <c r="G9" s="88">
        <f t="shared" si="1"/>
        <v>168201.1</v>
      </c>
    </row>
    <row r="10" spans="2:7" x14ac:dyDescent="0.35">
      <c r="B10" s="85" t="s">
        <v>83</v>
      </c>
      <c r="C10" s="85" t="s">
        <v>84</v>
      </c>
      <c r="D10" s="86">
        <v>129900</v>
      </c>
      <c r="E10" s="89">
        <v>7.0000000000000007E-2</v>
      </c>
      <c r="F10" s="88">
        <f t="shared" si="0"/>
        <v>9093</v>
      </c>
      <c r="G10" s="88">
        <f t="shared" si="1"/>
        <v>120807</v>
      </c>
    </row>
    <row r="11" spans="2:7" x14ac:dyDescent="0.35">
      <c r="B11" s="85" t="s">
        <v>85</v>
      </c>
      <c r="C11" s="85" t="s">
        <v>86</v>
      </c>
      <c r="D11" s="86">
        <v>191990</v>
      </c>
      <c r="E11" s="89">
        <v>0.04</v>
      </c>
      <c r="F11" s="88">
        <f t="shared" si="0"/>
        <v>7679.6</v>
      </c>
      <c r="G11" s="88">
        <f t="shared" si="1"/>
        <v>184310.39999999999</v>
      </c>
    </row>
    <row r="12" spans="2:7" x14ac:dyDescent="0.35">
      <c r="B12" s="85" t="s">
        <v>85</v>
      </c>
      <c r="C12" s="85" t="s">
        <v>87</v>
      </c>
      <c r="D12" s="86">
        <v>204990</v>
      </c>
      <c r="E12" s="89">
        <v>0.04</v>
      </c>
      <c r="F12" s="88">
        <f t="shared" si="0"/>
        <v>8199.6</v>
      </c>
      <c r="G12" s="88">
        <f t="shared" si="1"/>
        <v>196790.39999999999</v>
      </c>
    </row>
    <row r="13" spans="2:7" x14ac:dyDescent="0.35">
      <c r="B13" s="85" t="s">
        <v>85</v>
      </c>
      <c r="C13" s="85" t="s">
        <v>88</v>
      </c>
      <c r="D13" s="86">
        <v>210990</v>
      </c>
      <c r="E13" s="89">
        <v>0.06</v>
      </c>
      <c r="F13" s="88">
        <f t="shared" si="0"/>
        <v>12659.4</v>
      </c>
      <c r="G13" s="88">
        <f t="shared" si="1"/>
        <v>198330.6</v>
      </c>
    </row>
    <row r="14" spans="2:7" x14ac:dyDescent="0.35">
      <c r="B14" s="85" t="s">
        <v>89</v>
      </c>
      <c r="C14" s="85" t="s">
        <v>90</v>
      </c>
      <c r="D14" s="86">
        <v>169990</v>
      </c>
      <c r="E14" s="87">
        <v>7.4999999999999997E-2</v>
      </c>
      <c r="F14" s="88">
        <f t="shared" si="0"/>
        <v>12749.25</v>
      </c>
      <c r="G14" s="88">
        <f t="shared" si="1"/>
        <v>157240.75</v>
      </c>
    </row>
    <row r="15" spans="2:7" x14ac:dyDescent="0.35">
      <c r="B15" s="85" t="s">
        <v>89</v>
      </c>
      <c r="C15" s="85" t="s">
        <v>91</v>
      </c>
      <c r="D15" s="86">
        <v>177990</v>
      </c>
      <c r="E15" s="87">
        <v>7.4999999999999997E-2</v>
      </c>
      <c r="F15" s="88">
        <f t="shared" si="0"/>
        <v>13349.25</v>
      </c>
      <c r="G15" s="88">
        <f t="shared" si="1"/>
        <v>164640.75</v>
      </c>
    </row>
    <row r="16" spans="2:7" x14ac:dyDescent="0.35">
      <c r="B16" s="85" t="s">
        <v>92</v>
      </c>
      <c r="C16" s="85" t="s">
        <v>93</v>
      </c>
      <c r="D16" s="86">
        <v>174990</v>
      </c>
      <c r="E16" s="89">
        <v>0.04</v>
      </c>
      <c r="F16" s="88">
        <f t="shared" si="0"/>
        <v>6999.6</v>
      </c>
      <c r="G16" s="88">
        <f t="shared" si="1"/>
        <v>167990.39999999999</v>
      </c>
    </row>
    <row r="17" spans="2:7" x14ac:dyDescent="0.35">
      <c r="B17" s="85" t="s">
        <v>92</v>
      </c>
      <c r="C17" s="85" t="s">
        <v>94</v>
      </c>
      <c r="D17" s="86">
        <v>184990</v>
      </c>
      <c r="E17" s="89">
        <v>0.04</v>
      </c>
      <c r="F17" s="88">
        <f t="shared" si="0"/>
        <v>7399.6</v>
      </c>
      <c r="G17" s="88">
        <f t="shared" si="1"/>
        <v>177590.39999999999</v>
      </c>
    </row>
    <row r="18" spans="2:7" x14ac:dyDescent="0.35">
      <c r="B18" s="85" t="s">
        <v>95</v>
      </c>
      <c r="C18" s="85" t="s">
        <v>96</v>
      </c>
      <c r="D18" s="86">
        <v>176990</v>
      </c>
      <c r="E18" s="89">
        <v>7.4999999999999997E-2</v>
      </c>
      <c r="F18" s="88">
        <f t="shared" si="0"/>
        <v>13274.25</v>
      </c>
      <c r="G18" s="88">
        <f t="shared" si="1"/>
        <v>163715.75</v>
      </c>
    </row>
    <row r="19" spans="2:7" x14ac:dyDescent="0.35">
      <c r="B19" s="85" t="s">
        <v>95</v>
      </c>
      <c r="C19" s="90" t="s">
        <v>136</v>
      </c>
      <c r="D19" s="86">
        <v>179990</v>
      </c>
      <c r="E19" s="87">
        <v>0.03</v>
      </c>
      <c r="F19" s="88">
        <f t="shared" si="0"/>
        <v>5399.7</v>
      </c>
      <c r="G19" s="88">
        <f t="shared" si="1"/>
        <v>174590.3</v>
      </c>
    </row>
    <row r="20" spans="2:7" x14ac:dyDescent="0.35">
      <c r="B20" s="85" t="s">
        <v>95</v>
      </c>
      <c r="C20" s="90" t="s">
        <v>137</v>
      </c>
      <c r="D20" s="86">
        <v>186990</v>
      </c>
      <c r="E20" s="87">
        <v>0.03</v>
      </c>
      <c r="F20" s="88">
        <f t="shared" si="0"/>
        <v>5609.7</v>
      </c>
      <c r="G20" s="88">
        <f t="shared" si="1"/>
        <v>181380.3</v>
      </c>
    </row>
    <row r="21" spans="2:7" x14ac:dyDescent="0.35">
      <c r="B21" s="91" t="s">
        <v>97</v>
      </c>
      <c r="C21" s="91" t="s">
        <v>98</v>
      </c>
      <c r="D21" s="86">
        <v>189990</v>
      </c>
      <c r="E21" s="89">
        <v>0.05</v>
      </c>
      <c r="F21" s="88">
        <f t="shared" si="0"/>
        <v>9499.5</v>
      </c>
      <c r="G21" s="88">
        <f t="shared" si="1"/>
        <v>180490.5</v>
      </c>
    </row>
    <row r="22" spans="2:7" x14ac:dyDescent="0.35">
      <c r="B22" s="91" t="s">
        <v>97</v>
      </c>
      <c r="C22" s="91" t="s">
        <v>99</v>
      </c>
      <c r="D22" s="86">
        <v>202990</v>
      </c>
      <c r="E22" s="87">
        <v>0.09</v>
      </c>
      <c r="F22" s="88">
        <f t="shared" si="0"/>
        <v>18269.099999999999</v>
      </c>
      <c r="G22" s="88">
        <f t="shared" si="1"/>
        <v>184720.9</v>
      </c>
    </row>
    <row r="23" spans="2:7" x14ac:dyDescent="0.35">
      <c r="B23" s="91" t="s">
        <v>97</v>
      </c>
      <c r="C23" s="91" t="s">
        <v>100</v>
      </c>
      <c r="D23" s="86">
        <v>179990</v>
      </c>
      <c r="E23" s="89">
        <v>0.05</v>
      </c>
      <c r="F23" s="88">
        <f t="shared" si="0"/>
        <v>8999.5</v>
      </c>
      <c r="G23" s="88">
        <f t="shared" si="1"/>
        <v>170990.5</v>
      </c>
    </row>
    <row r="24" spans="2:7" x14ac:dyDescent="0.35">
      <c r="B24" s="85" t="s">
        <v>101</v>
      </c>
      <c r="C24" s="92" t="s">
        <v>138</v>
      </c>
      <c r="D24" s="86">
        <v>329990</v>
      </c>
      <c r="E24" s="89">
        <v>0.04</v>
      </c>
      <c r="F24" s="88">
        <f t="shared" si="0"/>
        <v>13199.6</v>
      </c>
      <c r="G24" s="88">
        <f t="shared" si="1"/>
        <v>316790.40000000002</v>
      </c>
    </row>
    <row r="25" spans="2:7" x14ac:dyDescent="0.35">
      <c r="B25" s="85" t="s">
        <v>102</v>
      </c>
      <c r="C25" s="92" t="s">
        <v>103</v>
      </c>
      <c r="D25" s="86">
        <v>359990</v>
      </c>
      <c r="E25" s="89">
        <v>0.04</v>
      </c>
      <c r="F25" s="88">
        <f t="shared" si="0"/>
        <v>14399.6</v>
      </c>
      <c r="G25" s="88">
        <f t="shared" si="1"/>
        <v>345590.4</v>
      </c>
    </row>
    <row r="26" spans="2:7" x14ac:dyDescent="0.35">
      <c r="B26" s="85" t="s">
        <v>139</v>
      </c>
      <c r="C26" s="93" t="s">
        <v>140</v>
      </c>
      <c r="D26" s="86">
        <v>349990</v>
      </c>
      <c r="E26" s="87">
        <v>0.04</v>
      </c>
      <c r="F26" s="88">
        <f t="shared" si="0"/>
        <v>13999.6</v>
      </c>
      <c r="G26" s="88">
        <f t="shared" si="1"/>
        <v>335990.4</v>
      </c>
    </row>
    <row r="27" spans="2:7" x14ac:dyDescent="0.35">
      <c r="B27" s="85" t="s">
        <v>139</v>
      </c>
      <c r="C27" s="93" t="s">
        <v>141</v>
      </c>
      <c r="D27" s="86">
        <v>389990</v>
      </c>
      <c r="E27" s="87">
        <v>0.04</v>
      </c>
      <c r="F27" s="88">
        <f t="shared" si="0"/>
        <v>15599.6</v>
      </c>
      <c r="G27" s="88">
        <f t="shared" si="1"/>
        <v>374390.4</v>
      </c>
    </row>
    <row r="28" spans="2:7" x14ac:dyDescent="0.35">
      <c r="B28" s="85" t="s">
        <v>139</v>
      </c>
      <c r="C28" s="93" t="s">
        <v>142</v>
      </c>
      <c r="D28" s="86">
        <v>410990</v>
      </c>
      <c r="E28" s="87">
        <v>0.04</v>
      </c>
      <c r="F28" s="88">
        <f t="shared" si="0"/>
        <v>16439.599999999999</v>
      </c>
      <c r="G28" s="88">
        <f t="shared" si="1"/>
        <v>394550.4</v>
      </c>
    </row>
    <row r="29" spans="2:7" x14ac:dyDescent="0.35">
      <c r="B29" s="85" t="s">
        <v>104</v>
      </c>
      <c r="C29" s="92" t="s">
        <v>105</v>
      </c>
      <c r="D29" s="86">
        <v>214990</v>
      </c>
      <c r="E29" s="89">
        <v>0.05</v>
      </c>
      <c r="F29" s="88">
        <f t="shared" si="0"/>
        <v>10749.5</v>
      </c>
      <c r="G29" s="88">
        <f t="shared" si="1"/>
        <v>204240.5</v>
      </c>
    </row>
    <row r="30" spans="2:7" x14ac:dyDescent="0.35">
      <c r="B30" s="85" t="s">
        <v>104</v>
      </c>
      <c r="C30" s="92" t="s">
        <v>106</v>
      </c>
      <c r="D30" s="86">
        <v>229990</v>
      </c>
      <c r="E30" s="89">
        <v>0.05</v>
      </c>
      <c r="F30" s="88">
        <f t="shared" si="0"/>
        <v>11499.5</v>
      </c>
      <c r="G30" s="88">
        <f t="shared" si="1"/>
        <v>218490.5</v>
      </c>
    </row>
    <row r="31" spans="2:7" x14ac:dyDescent="0.35">
      <c r="B31" s="85" t="s">
        <v>104</v>
      </c>
      <c r="C31" s="92" t="s">
        <v>107</v>
      </c>
      <c r="D31" s="86">
        <v>247990</v>
      </c>
      <c r="E31" s="89">
        <v>0.05</v>
      </c>
      <c r="F31" s="88">
        <f t="shared" si="0"/>
        <v>12399.5</v>
      </c>
      <c r="G31" s="88">
        <f t="shared" si="1"/>
        <v>235590.5</v>
      </c>
    </row>
    <row r="32" spans="2:7" x14ac:dyDescent="0.35">
      <c r="B32" s="85" t="s">
        <v>108</v>
      </c>
      <c r="C32" s="92" t="s">
        <v>106</v>
      </c>
      <c r="D32" s="86">
        <v>224990</v>
      </c>
      <c r="E32" s="89">
        <v>0.06</v>
      </c>
      <c r="F32" s="88">
        <f t="shared" si="0"/>
        <v>13499.4</v>
      </c>
      <c r="G32" s="88">
        <f t="shared" si="1"/>
        <v>211490.6</v>
      </c>
    </row>
    <row r="33" spans="2:7" x14ac:dyDescent="0.35">
      <c r="B33" s="85" t="s">
        <v>108</v>
      </c>
      <c r="C33" s="92" t="s">
        <v>107</v>
      </c>
      <c r="D33" s="86">
        <v>247990</v>
      </c>
      <c r="E33" s="89">
        <v>0.06</v>
      </c>
      <c r="F33" s="88">
        <f t="shared" si="0"/>
        <v>14879.4</v>
      </c>
      <c r="G33" s="88">
        <f t="shared" si="1"/>
        <v>233110.6</v>
      </c>
    </row>
    <row r="34" spans="2:7" x14ac:dyDescent="0.35">
      <c r="B34" s="85" t="s">
        <v>109</v>
      </c>
      <c r="C34" s="92" t="s">
        <v>105</v>
      </c>
      <c r="D34" s="86">
        <v>199900</v>
      </c>
      <c r="E34" s="87">
        <v>5.5E-2</v>
      </c>
      <c r="F34" s="88">
        <f t="shared" si="0"/>
        <v>10994.5</v>
      </c>
      <c r="G34" s="88">
        <f t="shared" si="1"/>
        <v>188905.5</v>
      </c>
    </row>
    <row r="35" spans="2:7" x14ac:dyDescent="0.35">
      <c r="B35" s="85" t="s">
        <v>109</v>
      </c>
      <c r="C35" s="92" t="s">
        <v>110</v>
      </c>
      <c r="D35" s="86">
        <v>212900</v>
      </c>
      <c r="E35" s="87">
        <v>5.5E-2</v>
      </c>
      <c r="F35" s="88">
        <f t="shared" si="0"/>
        <v>11709.5</v>
      </c>
      <c r="G35" s="88">
        <f t="shared" si="1"/>
        <v>201190.5</v>
      </c>
    </row>
    <row r="36" spans="2:7" x14ac:dyDescent="0.35">
      <c r="B36" s="85" t="s">
        <v>109</v>
      </c>
      <c r="C36" s="92" t="s">
        <v>111</v>
      </c>
      <c r="D36" s="86">
        <v>229900</v>
      </c>
      <c r="E36" s="87">
        <v>5.5E-2</v>
      </c>
      <c r="F36" s="88">
        <f t="shared" si="0"/>
        <v>12644.5</v>
      </c>
      <c r="G36" s="88">
        <f t="shared" si="1"/>
        <v>217255.5</v>
      </c>
    </row>
    <row r="37" spans="2:7" x14ac:dyDescent="0.35">
      <c r="B37" s="85" t="s">
        <v>109</v>
      </c>
      <c r="C37" s="85" t="s">
        <v>107</v>
      </c>
      <c r="D37" s="86">
        <v>248900</v>
      </c>
      <c r="E37" s="89">
        <v>4.4999999999999998E-2</v>
      </c>
      <c r="F37" s="88">
        <f t="shared" si="0"/>
        <v>11200.5</v>
      </c>
      <c r="G37" s="88">
        <f t="shared" si="1"/>
        <v>237699.5</v>
      </c>
    </row>
    <row r="38" spans="2:7" x14ac:dyDescent="0.35">
      <c r="B38" s="85" t="s">
        <v>143</v>
      </c>
      <c r="C38" s="85" t="s">
        <v>112</v>
      </c>
      <c r="D38" s="86">
        <v>147900</v>
      </c>
      <c r="E38" s="89">
        <v>0.04</v>
      </c>
      <c r="F38" s="88">
        <f t="shared" si="0"/>
        <v>5916</v>
      </c>
      <c r="G38" s="88">
        <f t="shared" si="1"/>
        <v>141984</v>
      </c>
    </row>
    <row r="39" spans="2:7" x14ac:dyDescent="0.35">
      <c r="B39" s="85" t="s">
        <v>143</v>
      </c>
      <c r="C39" s="85" t="s">
        <v>113</v>
      </c>
      <c r="D39" s="86">
        <v>156900</v>
      </c>
      <c r="E39" s="89">
        <v>0.04</v>
      </c>
      <c r="F39" s="88">
        <f t="shared" si="0"/>
        <v>6276</v>
      </c>
      <c r="G39" s="88">
        <f t="shared" si="1"/>
        <v>150624</v>
      </c>
    </row>
    <row r="40" spans="2:7" x14ac:dyDescent="0.35">
      <c r="B40" s="85" t="s">
        <v>114</v>
      </c>
      <c r="C40" s="85" t="s">
        <v>112</v>
      </c>
      <c r="D40" s="86">
        <v>150900</v>
      </c>
      <c r="E40" s="89">
        <v>0.06</v>
      </c>
      <c r="F40" s="88">
        <f t="shared" si="0"/>
        <v>9054</v>
      </c>
      <c r="G40" s="88">
        <f t="shared" si="1"/>
        <v>141846</v>
      </c>
    </row>
    <row r="41" spans="2:7" x14ac:dyDescent="0.35">
      <c r="B41" s="85" t="s">
        <v>114</v>
      </c>
      <c r="C41" s="85" t="s">
        <v>113</v>
      </c>
      <c r="D41" s="86">
        <v>159900</v>
      </c>
      <c r="E41" s="89">
        <v>0.1</v>
      </c>
      <c r="F41" s="88">
        <f t="shared" si="0"/>
        <v>15990</v>
      </c>
      <c r="G41" s="88">
        <f t="shared" si="1"/>
        <v>143910</v>
      </c>
    </row>
    <row r="42" spans="2:7" x14ac:dyDescent="0.35">
      <c r="B42" s="85" t="s">
        <v>115</v>
      </c>
      <c r="C42" s="85" t="s">
        <v>116</v>
      </c>
      <c r="D42" s="86">
        <v>154900</v>
      </c>
      <c r="E42" s="89">
        <v>4.4999999999999998E-2</v>
      </c>
      <c r="F42" s="88">
        <f t="shared" si="0"/>
        <v>6970.5</v>
      </c>
      <c r="G42" s="88">
        <f t="shared" si="1"/>
        <v>147929.5</v>
      </c>
    </row>
    <row r="43" spans="2:7" x14ac:dyDescent="0.35">
      <c r="B43" s="85" t="s">
        <v>115</v>
      </c>
      <c r="C43" s="85" t="s">
        <v>113</v>
      </c>
      <c r="D43" s="86">
        <v>163900</v>
      </c>
      <c r="E43" s="89">
        <v>4.4999999999999998E-2</v>
      </c>
      <c r="F43" s="88">
        <f t="shared" si="0"/>
        <v>7375.5</v>
      </c>
      <c r="G43" s="88">
        <f t="shared" si="1"/>
        <v>156524.5</v>
      </c>
    </row>
    <row r="44" spans="2:7" x14ac:dyDescent="0.35">
      <c r="B44" s="85" t="s">
        <v>117</v>
      </c>
      <c r="C44" s="85" t="s">
        <v>113</v>
      </c>
      <c r="D44" s="86">
        <v>229900</v>
      </c>
      <c r="E44" s="89">
        <v>0.04</v>
      </c>
      <c r="F44" s="88">
        <f t="shared" si="0"/>
        <v>9196</v>
      </c>
      <c r="G44" s="88">
        <f t="shared" si="1"/>
        <v>220704</v>
      </c>
    </row>
    <row r="45" spans="2:7" x14ac:dyDescent="0.35">
      <c r="B45" s="85" t="s">
        <v>117</v>
      </c>
      <c r="C45" s="85" t="s">
        <v>118</v>
      </c>
      <c r="D45" s="86">
        <v>254900</v>
      </c>
      <c r="E45" s="89">
        <v>0.04</v>
      </c>
      <c r="F45" s="88">
        <f t="shared" si="0"/>
        <v>10196</v>
      </c>
      <c r="G45" s="88">
        <f t="shared" si="1"/>
        <v>244704</v>
      </c>
    </row>
    <row r="46" spans="2:7" x14ac:dyDescent="0.35">
      <c r="B46" s="85" t="s">
        <v>119</v>
      </c>
      <c r="C46" s="85" t="s">
        <v>120</v>
      </c>
      <c r="D46" s="86">
        <v>179900</v>
      </c>
      <c r="E46" s="89">
        <v>0.05</v>
      </c>
      <c r="F46" s="88">
        <f t="shared" si="0"/>
        <v>8995</v>
      </c>
      <c r="G46" s="88">
        <f t="shared" si="1"/>
        <v>170905</v>
      </c>
    </row>
    <row r="47" spans="2:7" x14ac:dyDescent="0.35">
      <c r="B47" s="85" t="s">
        <v>119</v>
      </c>
      <c r="C47" s="85" t="s">
        <v>121</v>
      </c>
      <c r="D47" s="86">
        <v>189900</v>
      </c>
      <c r="E47" s="89">
        <v>0.05</v>
      </c>
      <c r="F47" s="88">
        <f t="shared" si="0"/>
        <v>9495</v>
      </c>
      <c r="G47" s="88">
        <f t="shared" si="1"/>
        <v>180405</v>
      </c>
    </row>
    <row r="48" spans="2:7" x14ac:dyDescent="0.35">
      <c r="B48" s="85" t="s">
        <v>119</v>
      </c>
      <c r="C48" s="85" t="s">
        <v>122</v>
      </c>
      <c r="D48" s="86">
        <v>199900</v>
      </c>
      <c r="E48" s="87">
        <v>7.0000000000000007E-2</v>
      </c>
      <c r="F48" s="88">
        <f t="shared" si="0"/>
        <v>13993.000000000002</v>
      </c>
      <c r="G48" s="88">
        <f t="shared" si="1"/>
        <v>185907</v>
      </c>
    </row>
    <row r="49" spans="2:7" x14ac:dyDescent="0.35">
      <c r="B49" s="85" t="s">
        <v>123</v>
      </c>
      <c r="C49" s="85" t="s">
        <v>121</v>
      </c>
      <c r="D49" s="86">
        <v>229900</v>
      </c>
      <c r="E49" s="89">
        <v>0.05</v>
      </c>
      <c r="F49" s="88">
        <f t="shared" si="0"/>
        <v>11495</v>
      </c>
      <c r="G49" s="88">
        <f t="shared" si="1"/>
        <v>218405</v>
      </c>
    </row>
    <row r="50" spans="2:7" x14ac:dyDescent="0.35">
      <c r="B50" s="85" t="s">
        <v>123</v>
      </c>
      <c r="C50" s="85" t="s">
        <v>124</v>
      </c>
      <c r="D50" s="86">
        <v>244900</v>
      </c>
      <c r="E50" s="89">
        <v>0.05</v>
      </c>
      <c r="F50" s="88">
        <f t="shared" si="0"/>
        <v>12245</v>
      </c>
      <c r="G50" s="88">
        <f t="shared" si="1"/>
        <v>232655</v>
      </c>
    </row>
  </sheetData>
  <mergeCells count="1">
    <mergeCell ref="B2:G2"/>
  </mergeCells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C260-5986-4C5E-91F0-8A6B55E027BA}">
  <dimension ref="A1:J26"/>
  <sheetViews>
    <sheetView rightToLeft="1" workbookViewId="0">
      <selection activeCell="G14" sqref="G14"/>
    </sheetView>
  </sheetViews>
  <sheetFormatPr defaultRowHeight="14" x14ac:dyDescent="0.3"/>
  <cols>
    <col min="1" max="3" width="10.08203125" bestFit="1" customWidth="1"/>
    <col min="4" max="4" width="38.25" bestFit="1" customWidth="1"/>
    <col min="8" max="9" width="10.08203125" bestFit="1" customWidth="1"/>
    <col min="10" max="10" width="9.83203125" bestFit="1" customWidth="1"/>
  </cols>
  <sheetData>
    <row r="1" spans="1:10" ht="14.5" x14ac:dyDescent="0.35">
      <c r="A1" s="10">
        <f ca="1">EOMONTH( TODAY(), 0)</f>
        <v>46203</v>
      </c>
      <c r="B1" s="10">
        <f ca="1">EOMONTH(TODAY(), -1) +1</f>
        <v>46174</v>
      </c>
      <c r="C1" s="10">
        <f>DATE(2026,4,1)</f>
        <v>46113</v>
      </c>
      <c r="D1" s="1" t="s">
        <v>21</v>
      </c>
      <c r="G1" s="1"/>
      <c r="J1" s="11"/>
    </row>
    <row r="2" spans="1:10" ht="14.5" x14ac:dyDescent="0.35">
      <c r="C2" s="10">
        <f>DATE(2026,4,2)</f>
        <v>46114</v>
      </c>
      <c r="D2" s="12" t="s">
        <v>22</v>
      </c>
      <c r="G2" s="1"/>
      <c r="H2" s="1"/>
      <c r="I2" s="1"/>
    </row>
    <row r="3" spans="1:10" ht="14.5" x14ac:dyDescent="0.35">
      <c r="C3" s="10">
        <f>DATE(2026,4,3)</f>
        <v>46115</v>
      </c>
      <c r="D3" s="1" t="s">
        <v>23</v>
      </c>
      <c r="G3" s="1"/>
      <c r="H3" s="1"/>
      <c r="I3" s="1"/>
    </row>
    <row r="4" spans="1:10" ht="14.5" x14ac:dyDescent="0.35">
      <c r="C4" s="10">
        <f>DATE(2026,4,4)</f>
        <v>46116</v>
      </c>
      <c r="D4" s="1" t="s">
        <v>62</v>
      </c>
      <c r="G4" s="1"/>
      <c r="H4" s="1"/>
      <c r="I4" s="1"/>
    </row>
    <row r="5" spans="1:10" ht="14.5" x14ac:dyDescent="0.35">
      <c r="C5" s="10">
        <f>DATE(2026,4,5)</f>
        <v>46117</v>
      </c>
      <c r="D5" s="1" t="s">
        <v>23</v>
      </c>
      <c r="G5" s="1"/>
      <c r="H5" s="1"/>
      <c r="I5" s="1"/>
    </row>
    <row r="6" spans="1:10" ht="14.5" x14ac:dyDescent="0.35">
      <c r="C6" s="10">
        <f>DATE(2026,4,6)</f>
        <v>46118</v>
      </c>
      <c r="D6" s="1" t="s">
        <v>23</v>
      </c>
      <c r="G6" s="1"/>
      <c r="H6" s="1"/>
      <c r="I6" s="1"/>
    </row>
    <row r="7" spans="1:10" ht="14.5" x14ac:dyDescent="0.35">
      <c r="C7" s="10">
        <f>DATE(2026,4,7)</f>
        <v>46119</v>
      </c>
      <c r="D7" s="1" t="s">
        <v>23</v>
      </c>
      <c r="G7" s="1"/>
      <c r="H7" s="1"/>
      <c r="I7" s="1"/>
    </row>
    <row r="8" spans="1:10" ht="14.5" x14ac:dyDescent="0.35">
      <c r="C8" s="10">
        <f>DATE(2026,4,8)</f>
        <v>46120</v>
      </c>
      <c r="D8" s="1" t="s">
        <v>24</v>
      </c>
      <c r="G8" s="1"/>
      <c r="H8" s="1"/>
      <c r="I8" s="1"/>
    </row>
    <row r="9" spans="1:10" ht="14.5" x14ac:dyDescent="0.35">
      <c r="C9" s="10">
        <f>DATE(2026,4,21)</f>
        <v>46133</v>
      </c>
      <c r="D9" s="1" t="s">
        <v>60</v>
      </c>
      <c r="G9" s="1"/>
      <c r="H9" s="1"/>
      <c r="I9" s="1"/>
    </row>
    <row r="10" spans="1:10" ht="14.5" x14ac:dyDescent="0.35">
      <c r="C10" s="10">
        <f>DATE(2026,4,22)</f>
        <v>46134</v>
      </c>
      <c r="D10" s="1" t="s">
        <v>25</v>
      </c>
      <c r="G10" s="1"/>
      <c r="H10" s="1"/>
      <c r="I10" s="1"/>
    </row>
    <row r="11" spans="1:10" ht="14.5" x14ac:dyDescent="0.35">
      <c r="C11" s="10">
        <f>DATE(2026,5,21)</f>
        <v>46163</v>
      </c>
      <c r="D11" s="1" t="s">
        <v>58</v>
      </c>
      <c r="G11" s="1"/>
      <c r="H11" s="1"/>
      <c r="I11" s="1"/>
    </row>
    <row r="12" spans="1:10" ht="14.5" x14ac:dyDescent="0.35">
      <c r="C12" s="10">
        <f>DATE(2026,5,22)</f>
        <v>46164</v>
      </c>
      <c r="D12" s="1" t="s">
        <v>59</v>
      </c>
      <c r="G12" s="1"/>
      <c r="H12" s="1"/>
      <c r="I12" s="1"/>
    </row>
    <row r="13" spans="1:10" ht="14.5" x14ac:dyDescent="0.35">
      <c r="C13" s="10">
        <f>DATE(2026,9,11)</f>
        <v>46276</v>
      </c>
      <c r="D13" s="1" t="s">
        <v>26</v>
      </c>
      <c r="G13" s="1"/>
      <c r="H13" s="1"/>
      <c r="I13" s="1"/>
    </row>
    <row r="14" spans="1:10" ht="14.5" x14ac:dyDescent="0.35">
      <c r="C14" s="10">
        <f>DATE(2026,9,12)</f>
        <v>46277</v>
      </c>
      <c r="D14" s="1" t="s">
        <v>27</v>
      </c>
      <c r="G14" s="1"/>
      <c r="H14" s="1"/>
      <c r="I14" s="1"/>
    </row>
    <row r="15" spans="1:10" ht="14.5" x14ac:dyDescent="0.35">
      <c r="C15" s="10">
        <f>DATE(2026,9,13)</f>
        <v>46278</v>
      </c>
      <c r="D15" s="1" t="s">
        <v>28</v>
      </c>
      <c r="G15" s="1"/>
      <c r="H15" s="1"/>
      <c r="I15" s="1"/>
    </row>
    <row r="16" spans="1:10" ht="14.5" x14ac:dyDescent="0.35">
      <c r="C16" s="10">
        <f>DATE(2026,9,20)</f>
        <v>46285</v>
      </c>
      <c r="D16" s="1" t="s">
        <v>61</v>
      </c>
      <c r="G16" s="1"/>
      <c r="H16" s="1"/>
      <c r="I16" s="1"/>
    </row>
    <row r="17" spans="1:9" ht="14.5" x14ac:dyDescent="0.35">
      <c r="C17" s="10">
        <f>DATE(2026,9,21)</f>
        <v>46286</v>
      </c>
      <c r="D17" s="1" t="s">
        <v>29</v>
      </c>
      <c r="G17" s="1"/>
      <c r="H17" s="1"/>
      <c r="I17" s="1"/>
    </row>
    <row r="18" spans="1:9" ht="14.5" x14ac:dyDescent="0.35">
      <c r="C18" s="10">
        <f>DATE(2026,9,25)</f>
        <v>46290</v>
      </c>
      <c r="D18" s="1" t="s">
        <v>30</v>
      </c>
      <c r="G18" s="1"/>
      <c r="H18" s="1"/>
      <c r="I18" s="1"/>
    </row>
    <row r="19" spans="1:9" ht="14.5" x14ac:dyDescent="0.35">
      <c r="C19" s="10">
        <f>DATE(2026,9,26)</f>
        <v>46291</v>
      </c>
      <c r="D19" s="1" t="s">
        <v>31</v>
      </c>
      <c r="G19" s="1"/>
      <c r="H19" s="1"/>
      <c r="I19" s="1"/>
    </row>
    <row r="20" spans="1:9" ht="14.5" x14ac:dyDescent="0.35">
      <c r="C20" s="10">
        <f>DATE(2026,9,27)</f>
        <v>46292</v>
      </c>
      <c r="D20" s="1" t="s">
        <v>32</v>
      </c>
      <c r="G20" s="1"/>
      <c r="H20" s="1"/>
      <c r="I20" s="1"/>
    </row>
    <row r="21" spans="1:9" ht="14.5" x14ac:dyDescent="0.35">
      <c r="A21" s="1"/>
      <c r="B21" s="1"/>
      <c r="C21" s="10">
        <f>DATE(2026,9,28)</f>
        <v>46293</v>
      </c>
      <c r="D21" s="1" t="s">
        <v>32</v>
      </c>
    </row>
    <row r="22" spans="1:9" ht="14.5" x14ac:dyDescent="0.35">
      <c r="A22" s="1" t="s">
        <v>39</v>
      </c>
      <c r="B22" s="1"/>
      <c r="C22" s="10">
        <f>DATE(2026,9,29)</f>
        <v>46294</v>
      </c>
      <c r="D22" s="1" t="s">
        <v>32</v>
      </c>
    </row>
    <row r="23" spans="1:9" ht="14.5" x14ac:dyDescent="0.35">
      <c r="A23" s="1" t="s">
        <v>40</v>
      </c>
      <c r="B23" s="1"/>
      <c r="C23" s="10">
        <f>DATE(2026,9,30)</f>
        <v>46295</v>
      </c>
      <c r="D23" s="1" t="s">
        <v>32</v>
      </c>
    </row>
    <row r="24" spans="1:9" ht="14.5" x14ac:dyDescent="0.35">
      <c r="A24" s="1"/>
      <c r="B24" s="1"/>
      <c r="C24" s="10">
        <f>DATE(2026,10,1)</f>
        <v>46296</v>
      </c>
      <c r="D24" s="1" t="s">
        <v>32</v>
      </c>
    </row>
    <row r="25" spans="1:9" ht="14.5" x14ac:dyDescent="0.35">
      <c r="A25" s="1"/>
      <c r="B25" s="1"/>
      <c r="C25" s="10">
        <f>DATE(2026,10,2)</f>
        <v>46297</v>
      </c>
      <c r="D25" s="1" t="s">
        <v>63</v>
      </c>
    </row>
    <row r="26" spans="1:9" ht="14.5" x14ac:dyDescent="0.35">
      <c r="A26" s="1"/>
      <c r="B26" s="1"/>
      <c r="C26" s="10">
        <f>DATE(2026,10,3)</f>
        <v>46298</v>
      </c>
      <c r="D26" s="1" t="s">
        <v>33</v>
      </c>
    </row>
  </sheetData>
  <sheetProtection sort="0"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61C9B9E7211A4782D7E889B48582BE" ma:contentTypeVersion="4" ma:contentTypeDescription="Create a new document." ma:contentTypeScope="" ma:versionID="5c872115612f99bfd1afbd644957b3b6">
  <xsd:schema xmlns:xsd="http://www.w3.org/2001/XMLSchema" xmlns:xs="http://www.w3.org/2001/XMLSchema" xmlns:p="http://schemas.microsoft.com/office/2006/metadata/properties" xmlns:ns3="2f19a0f4-d28d-4ff4-bb9a-3bd09d69250f" targetNamespace="http://schemas.microsoft.com/office/2006/metadata/properties" ma:root="true" ma:fieldsID="2b1ba2fded43ff81610056c1f9bfc785" ns3:_="">
    <xsd:import namespace="2f19a0f4-d28d-4ff4-bb9a-3bd09d69250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19a0f4-d28d-4ff4-bb9a-3bd09d69250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5999FB-0EE3-4AA8-837D-0A53230B4D02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2f19a0f4-d28d-4ff4-bb9a-3bd09d69250f"/>
    <ds:schemaRef ds:uri="http://purl.org/dc/terms/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3AAFD4B-8B73-4401-BFE0-AC0340C79E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408420-40AD-4281-AF2A-830AB8FE2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19a0f4-d28d-4ff4-bb9a-3bd09d6925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יעדים</vt:lpstr>
      <vt:lpstr>חשבונית-פתוח-בתהליך</vt:lpstr>
      <vt:lpstr>אינסנטיב יוני</vt:lpstr>
      <vt:lpstr>תנאים מסחריים מאי 26</vt:lpstr>
      <vt:lpstr>חגים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Eilon</dc:creator>
  <cp:lastModifiedBy>Ido Eilon</cp:lastModifiedBy>
  <dcterms:created xsi:type="dcterms:W3CDTF">2026-04-28T09:56:04Z</dcterms:created>
  <dcterms:modified xsi:type="dcterms:W3CDTF">2026-06-10T14:03:20Z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0x010100BA61C9B9E7211A4782D7E889B48582BE</vt:lpwstr>
  </property>
</Properties>
</file>